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arsa\Documents\CODERHOUSE\e9\"/>
    </mc:Choice>
  </mc:AlternateContent>
  <xr:revisionPtr revIDLastSave="0" documentId="13_ncr:1_{51CCB571-A1E2-4526-B5B6-D8EA827376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shboardFinal" sheetId="2" r:id="rId1"/>
    <sheet name="Soporte Dashboard" sheetId="4" state="hidden" r:id="rId2"/>
    <sheet name="Datos" sheetId="1" r:id="rId3"/>
  </sheets>
  <definedNames>
    <definedName name="_xlchart.v1.0" hidden="1">DashboardFinal!$R$4:$R$6</definedName>
    <definedName name="_xlchart.v1.1" hidden="1">DashboardFinal!$S$3</definedName>
    <definedName name="_xlchart.v1.2" hidden="1">DashboardFinal!$S$4:$S$6</definedName>
    <definedName name="_xlchart.v1.3" hidden="1">DashboardFinal!$AB$10</definedName>
    <definedName name="_xlchart.v1.4" hidden="1">DashboardFinal!$AD$4</definedName>
    <definedName name="_xlchart.v1.5" hidden="1">DashboardFinal!$AD$4:$AD$6</definedName>
    <definedName name="_xlchart.v1.6" hidden="1">DashboardFinal!$AE$3</definedName>
    <definedName name="_xlchart.v1.7" hidden="1">DashboardFinal!$AE$4</definedName>
    <definedName name="_xlchart.v1.8" hidden="1">DashboardFinal!$AE$4:$AE$6</definedName>
    <definedName name="SegmentaciónDeDatos_Categoría">#N/A</definedName>
    <definedName name="SegmentaciónDeDatos_Mes">#N/A</definedName>
    <definedName name="SegmentaciónDeDatos_Región">#N/A</definedName>
  </definedNames>
  <calcPr calcId="191029"/>
  <pivotCaches>
    <pivotCache cacheId="57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4" l="1"/>
  <c r="G4" i="2" s="1"/>
  <c r="AB10" i="2" s="1"/>
  <c r="J4" i="2"/>
  <c r="C4" i="2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L2" i="1" a="1"/>
  <c r="L2" i="1" s="1"/>
  <c r="L3" i="1" a="1"/>
  <c r="L3" i="1" s="1"/>
  <c r="L4" i="1" a="1"/>
  <c r="L4" i="1" s="1"/>
  <c r="L5" i="1" a="1"/>
  <c r="L5" i="1" s="1"/>
  <c r="L6" i="1" a="1"/>
  <c r="L6" i="1" s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L19" i="1" a="1"/>
  <c r="L19" i="1" s="1"/>
  <c r="L20" i="1" a="1"/>
  <c r="L20" i="1" s="1"/>
  <c r="L21" i="1" a="1"/>
  <c r="L21" i="1" s="1"/>
  <c r="L22" i="1" a="1"/>
  <c r="L22" i="1" s="1"/>
  <c r="L23" i="1" a="1"/>
  <c r="L23" i="1" s="1"/>
  <c r="L24" i="1" a="1"/>
  <c r="L24" i="1" s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6" i="1" a="1"/>
  <c r="L36" i="1" s="1"/>
  <c r="L37" i="1" a="1"/>
  <c r="L37" i="1" s="1"/>
  <c r="L38" i="1" a="1"/>
  <c r="L38" i="1" s="1"/>
  <c r="L39" i="1" a="1"/>
  <c r="L39" i="1" s="1"/>
  <c r="L40" i="1" a="1"/>
  <c r="L40" i="1" s="1"/>
  <c r="L41" i="1" a="1"/>
  <c r="L41" i="1" s="1"/>
  <c r="L42" i="1" a="1"/>
  <c r="L42" i="1" s="1"/>
  <c r="L43" i="1" a="1"/>
  <c r="L43" i="1" s="1"/>
  <c r="L44" i="1" a="1"/>
  <c r="L44" i="1" s="1"/>
  <c r="L45" i="1" a="1"/>
  <c r="L45" i="1" s="1"/>
  <c r="L46" i="1" a="1"/>
  <c r="L46" i="1" s="1"/>
  <c r="L47" i="1" a="1"/>
  <c r="L47" i="1" s="1"/>
  <c r="L48" i="1" a="1"/>
  <c r="L48" i="1" s="1"/>
  <c r="L49" i="1" a="1"/>
  <c r="L49" i="1" s="1"/>
  <c r="L50" i="1" a="1"/>
  <c r="L50" i="1" s="1"/>
  <c r="L51" i="1" a="1"/>
  <c r="L51" i="1" s="1"/>
  <c r="L52" i="1" a="1"/>
  <c r="L52" i="1" s="1"/>
  <c r="L53" i="1" a="1"/>
  <c r="L53" i="1" s="1"/>
  <c r="L54" i="1" a="1"/>
  <c r="L54" i="1" s="1"/>
  <c r="L55" i="1" a="1"/>
  <c r="L55" i="1" s="1"/>
  <c r="L56" i="1" a="1"/>
  <c r="L56" i="1" s="1"/>
  <c r="L57" i="1" a="1"/>
  <c r="L57" i="1" s="1"/>
  <c r="L58" i="1" a="1"/>
  <c r="L58" i="1" s="1"/>
  <c r="L59" i="1" a="1"/>
  <c r="L59" i="1" s="1"/>
  <c r="L60" i="1" a="1"/>
  <c r="L60" i="1" s="1"/>
  <c r="L61" i="1" a="1"/>
  <c r="L61" i="1" s="1"/>
  <c r="L62" i="1" a="1"/>
  <c r="L62" i="1" s="1"/>
  <c r="L63" i="1" a="1"/>
  <c r="L63" i="1" s="1"/>
  <c r="L64" i="1" a="1"/>
  <c r="L64" i="1" s="1"/>
  <c r="L65" i="1" a="1"/>
  <c r="L65" i="1" s="1"/>
  <c r="L66" i="1" a="1"/>
  <c r="L66" i="1" s="1"/>
  <c r="L67" i="1" a="1"/>
  <c r="L67" i="1" s="1"/>
  <c r="L68" i="1" a="1"/>
  <c r="L68" i="1" s="1"/>
  <c r="L69" i="1" a="1"/>
  <c r="L69" i="1" s="1"/>
  <c r="L70" i="1" a="1"/>
  <c r="L70" i="1" s="1"/>
  <c r="L71" i="1" a="1"/>
  <c r="L71" i="1" s="1"/>
  <c r="L72" i="1" a="1"/>
  <c r="L72" i="1" s="1"/>
  <c r="L73" i="1" a="1"/>
  <c r="L73" i="1" s="1"/>
  <c r="L74" i="1" a="1"/>
  <c r="L74" i="1" s="1"/>
  <c r="L75" i="1" a="1"/>
  <c r="L75" i="1" s="1"/>
  <c r="L76" i="1" a="1"/>
  <c r="L76" i="1" s="1"/>
  <c r="L77" i="1" a="1"/>
  <c r="L77" i="1" s="1"/>
  <c r="L78" i="1" a="1"/>
  <c r="L78" i="1" s="1"/>
  <c r="L79" i="1" a="1"/>
  <c r="L79" i="1" s="1"/>
  <c r="L80" i="1" a="1"/>
  <c r="L80" i="1" s="1"/>
  <c r="L81" i="1" a="1"/>
  <c r="L81" i="1" s="1"/>
  <c r="L82" i="1" a="1"/>
  <c r="L82" i="1" s="1"/>
  <c r="L83" i="1" a="1"/>
  <c r="L83" i="1" s="1"/>
  <c r="L84" i="1" a="1"/>
  <c r="L84" i="1" s="1"/>
  <c r="L85" i="1" a="1"/>
  <c r="L85" i="1" s="1"/>
  <c r="L86" i="1" a="1"/>
  <c r="L86" i="1" s="1"/>
  <c r="L87" i="1" a="1"/>
  <c r="L87" i="1" s="1"/>
  <c r="L88" i="1" a="1"/>
  <c r="L88" i="1" s="1"/>
  <c r="L89" i="1" a="1"/>
  <c r="L89" i="1" s="1"/>
  <c r="L90" i="1" a="1"/>
  <c r="L90" i="1" s="1"/>
  <c r="L91" i="1" a="1"/>
  <c r="L91" i="1" s="1"/>
  <c r="L92" i="1" a="1"/>
  <c r="L92" i="1" s="1"/>
  <c r="L93" i="1" a="1"/>
  <c r="L93" i="1" s="1"/>
  <c r="L94" i="1" a="1"/>
  <c r="L94" i="1" s="1"/>
  <c r="L95" i="1" a="1"/>
  <c r="L95" i="1" s="1"/>
  <c r="L96" i="1" a="1"/>
  <c r="L96" i="1" s="1"/>
  <c r="L97" i="1" a="1"/>
  <c r="L97" i="1" s="1"/>
  <c r="L98" i="1" a="1"/>
  <c r="L98" i="1" s="1"/>
  <c r="L99" i="1" a="1"/>
  <c r="L99" i="1" s="1"/>
  <c r="L100" i="1" a="1"/>
  <c r="L100" i="1" s="1"/>
  <c r="L101" i="1" a="1"/>
  <c r="L101" i="1" s="1"/>
  <c r="L102" i="1" a="1"/>
  <c r="L102" i="1" s="1"/>
  <c r="L103" i="1" a="1"/>
  <c r="L103" i="1" s="1"/>
  <c r="L104" i="1" a="1"/>
  <c r="L104" i="1" s="1"/>
  <c r="L105" i="1" a="1"/>
  <c r="L105" i="1" s="1"/>
  <c r="L106" i="1" a="1"/>
  <c r="L106" i="1" s="1"/>
  <c r="L107" i="1" a="1"/>
  <c r="L107" i="1" s="1"/>
  <c r="L108" i="1" a="1"/>
  <c r="L108" i="1" s="1"/>
  <c r="L109" i="1" a="1"/>
  <c r="L109" i="1" s="1"/>
  <c r="L110" i="1" a="1"/>
  <c r="L110" i="1" s="1"/>
  <c r="L111" i="1" a="1"/>
  <c r="L111" i="1" s="1"/>
  <c r="L112" i="1" a="1"/>
  <c r="L112" i="1" s="1"/>
  <c r="L113" i="1" a="1"/>
  <c r="L113" i="1" s="1"/>
  <c r="L114" i="1" a="1"/>
  <c r="L114" i="1" s="1"/>
  <c r="L115" i="1" a="1"/>
  <c r="L115" i="1" s="1"/>
  <c r="L116" i="1" a="1"/>
  <c r="L116" i="1" s="1"/>
  <c r="L117" i="1" a="1"/>
  <c r="L117" i="1" s="1"/>
  <c r="L118" i="1" a="1"/>
  <c r="L118" i="1" s="1"/>
  <c r="L119" i="1" a="1"/>
  <c r="L119" i="1" s="1"/>
  <c r="L120" i="1" a="1"/>
  <c r="L120" i="1" s="1"/>
  <c r="L121" i="1" a="1"/>
  <c r="L121" i="1" s="1"/>
  <c r="L122" i="1" a="1"/>
  <c r="L122" i="1" s="1"/>
  <c r="L123" i="1" a="1"/>
  <c r="L123" i="1" s="1"/>
  <c r="L124" i="1" a="1"/>
  <c r="L124" i="1" s="1"/>
  <c r="L125" i="1" a="1"/>
  <c r="L125" i="1" s="1"/>
  <c r="L126" i="1" a="1"/>
  <c r="L126" i="1" s="1"/>
  <c r="L127" i="1" a="1"/>
  <c r="L127" i="1" s="1"/>
  <c r="L128" i="1" a="1"/>
  <c r="L128" i="1" s="1"/>
  <c r="L129" i="1" a="1"/>
  <c r="L129" i="1" s="1"/>
  <c r="L130" i="1" a="1"/>
  <c r="L130" i="1" s="1"/>
  <c r="L131" i="1" a="1"/>
  <c r="L131" i="1" s="1"/>
  <c r="L132" i="1" a="1"/>
  <c r="L132" i="1" s="1"/>
  <c r="L133" i="1" a="1"/>
  <c r="L133" i="1" s="1"/>
  <c r="L134" i="1" a="1"/>
  <c r="L134" i="1" s="1"/>
  <c r="L135" i="1" a="1"/>
  <c r="L135" i="1" s="1"/>
  <c r="L136" i="1" a="1"/>
  <c r="L136" i="1" s="1"/>
  <c r="L137" i="1" a="1"/>
  <c r="L137" i="1" s="1"/>
  <c r="L138" i="1" a="1"/>
  <c r="L138" i="1" s="1"/>
  <c r="L139" i="1" a="1"/>
  <c r="L139" i="1" s="1"/>
  <c r="L140" i="1" a="1"/>
  <c r="L140" i="1" s="1"/>
  <c r="L141" i="1" a="1"/>
  <c r="L141" i="1" s="1"/>
  <c r="L142" i="1" a="1"/>
  <c r="L142" i="1" s="1"/>
  <c r="L143" i="1" a="1"/>
  <c r="L143" i="1" s="1"/>
  <c r="L144" i="1" a="1"/>
  <c r="L144" i="1" s="1"/>
  <c r="L145" i="1" a="1"/>
  <c r="L145" i="1" s="1"/>
  <c r="L146" i="1" a="1"/>
  <c r="L146" i="1" s="1"/>
  <c r="L147" i="1" a="1"/>
  <c r="L147" i="1" s="1"/>
  <c r="L148" i="1" a="1"/>
  <c r="L148" i="1" s="1"/>
  <c r="L149" i="1" a="1"/>
  <c r="L149" i="1" s="1"/>
  <c r="L150" i="1" a="1"/>
  <c r="L150" i="1" s="1"/>
  <c r="L151" i="1" a="1"/>
  <c r="L151" i="1" s="1"/>
  <c r="L152" i="1" a="1"/>
  <c r="L152" i="1" s="1"/>
  <c r="L153" i="1" a="1"/>
  <c r="L153" i="1" s="1"/>
  <c r="L154" i="1" a="1"/>
  <c r="L154" i="1" s="1"/>
  <c r="L155" i="1" a="1"/>
  <c r="L155" i="1" s="1"/>
  <c r="L156" i="1" a="1"/>
  <c r="L156" i="1" s="1"/>
  <c r="L157" i="1" a="1"/>
  <c r="L157" i="1" s="1"/>
  <c r="L158" i="1" a="1"/>
  <c r="L158" i="1" s="1"/>
  <c r="L159" i="1" a="1"/>
  <c r="L159" i="1" s="1"/>
  <c r="L160" i="1" a="1"/>
  <c r="L160" i="1" s="1"/>
  <c r="L161" i="1" a="1"/>
  <c r="L161" i="1" s="1"/>
  <c r="L162" i="1" a="1"/>
  <c r="L162" i="1" s="1"/>
  <c r="L163" i="1" a="1"/>
  <c r="L163" i="1" s="1"/>
  <c r="L164" i="1" a="1"/>
  <c r="L164" i="1" s="1"/>
  <c r="L165" i="1" a="1"/>
  <c r="L165" i="1" s="1"/>
  <c r="L166" i="1" a="1"/>
  <c r="L166" i="1" s="1"/>
  <c r="L167" i="1" a="1"/>
  <c r="L167" i="1" s="1"/>
  <c r="L168" i="1" a="1"/>
  <c r="L168" i="1" s="1"/>
  <c r="L169" i="1" a="1"/>
  <c r="L169" i="1" s="1"/>
  <c r="L170" i="1" a="1"/>
  <c r="L170" i="1" s="1"/>
  <c r="L171" i="1" a="1"/>
  <c r="L171" i="1" s="1"/>
  <c r="L172" i="1" a="1"/>
  <c r="L172" i="1" s="1"/>
  <c r="L173" i="1" a="1"/>
  <c r="L173" i="1" s="1"/>
  <c r="L174" i="1" a="1"/>
  <c r="L174" i="1" s="1"/>
  <c r="L175" i="1" a="1"/>
  <c r="L175" i="1" s="1"/>
  <c r="L176" i="1" a="1"/>
  <c r="L176" i="1" s="1"/>
  <c r="L177" i="1" a="1"/>
  <c r="L177" i="1" s="1"/>
  <c r="L178" i="1" a="1"/>
  <c r="L178" i="1" s="1"/>
  <c r="L179" i="1" a="1"/>
  <c r="L179" i="1" s="1"/>
  <c r="L180" i="1" a="1"/>
  <c r="L180" i="1" s="1"/>
  <c r="L181" i="1" a="1"/>
  <c r="L181" i="1" s="1"/>
  <c r="L182" i="1" a="1"/>
  <c r="L182" i="1" s="1"/>
  <c r="L183" i="1" a="1"/>
  <c r="L183" i="1" s="1"/>
  <c r="L184" i="1" a="1"/>
  <c r="L184" i="1" s="1"/>
  <c r="L185" i="1" a="1"/>
  <c r="L185" i="1" s="1"/>
  <c r="L186" i="1" a="1"/>
  <c r="L186" i="1" s="1"/>
  <c r="L187" i="1" a="1"/>
  <c r="L187" i="1" s="1"/>
  <c r="L188" i="1" a="1"/>
  <c r="L188" i="1" s="1"/>
  <c r="L189" i="1" a="1"/>
  <c r="L189" i="1" s="1"/>
  <c r="L190" i="1" a="1"/>
  <c r="L190" i="1" s="1"/>
  <c r="L191" i="1" a="1"/>
  <c r="L191" i="1" s="1"/>
  <c r="L192" i="1" a="1"/>
  <c r="L192" i="1" s="1"/>
  <c r="L193" i="1" a="1"/>
  <c r="L193" i="1" s="1"/>
  <c r="L194" i="1" a="1"/>
  <c r="L194" i="1" s="1"/>
  <c r="L195" i="1" a="1"/>
  <c r="L195" i="1" s="1"/>
  <c r="L196" i="1" a="1"/>
  <c r="L196" i="1" s="1"/>
  <c r="L197" i="1" a="1"/>
  <c r="L197" i="1" s="1"/>
  <c r="L198" i="1" a="1"/>
  <c r="L198" i="1" s="1"/>
  <c r="L199" i="1" a="1"/>
  <c r="L199" i="1" s="1"/>
  <c r="L200" i="1" a="1"/>
  <c r="L200" i="1" s="1"/>
  <c r="L201" i="1" a="1"/>
  <c r="L201" i="1" s="1"/>
  <c r="L202" i="1" a="1"/>
  <c r="L202" i="1" s="1"/>
  <c r="L203" i="1" a="1"/>
  <c r="L203" i="1" s="1"/>
  <c r="L204" i="1" a="1"/>
  <c r="L204" i="1" s="1"/>
  <c r="L205" i="1" a="1"/>
  <c r="L205" i="1" s="1"/>
  <c r="L206" i="1" a="1"/>
  <c r="L206" i="1" s="1"/>
  <c r="L207" i="1" a="1"/>
  <c r="L207" i="1" s="1"/>
  <c r="L208" i="1" a="1"/>
  <c r="L208" i="1" s="1"/>
  <c r="L209" i="1" a="1"/>
  <c r="L209" i="1" s="1"/>
  <c r="L210" i="1" a="1"/>
  <c r="L210" i="1" s="1"/>
  <c r="L211" i="1" a="1"/>
  <c r="L211" i="1" s="1"/>
  <c r="L212" i="1" a="1"/>
  <c r="L212" i="1" s="1"/>
  <c r="L213" i="1" a="1"/>
  <c r="L213" i="1" s="1"/>
  <c r="L214" i="1" a="1"/>
  <c r="L214" i="1" s="1"/>
  <c r="L215" i="1" a="1"/>
  <c r="L215" i="1" s="1"/>
  <c r="L216" i="1" a="1"/>
  <c r="L216" i="1" s="1"/>
  <c r="L217" i="1" a="1"/>
  <c r="L217" i="1" s="1"/>
  <c r="L218" i="1" a="1"/>
  <c r="L218" i="1" s="1"/>
  <c r="L219" i="1" a="1"/>
  <c r="L219" i="1" s="1"/>
  <c r="L220" i="1" a="1"/>
  <c r="L220" i="1" s="1"/>
  <c r="L221" i="1" a="1"/>
  <c r="L221" i="1" s="1"/>
  <c r="L222" i="1" a="1"/>
  <c r="L222" i="1" s="1"/>
  <c r="L223" i="1" a="1"/>
  <c r="L223" i="1" s="1"/>
  <c r="L224" i="1" a="1"/>
  <c r="L224" i="1" s="1"/>
  <c r="L225" i="1" a="1"/>
  <c r="L225" i="1" s="1"/>
  <c r="L226" i="1" a="1"/>
  <c r="L226" i="1" s="1"/>
  <c r="L227" i="1" a="1"/>
  <c r="L227" i="1" s="1"/>
  <c r="L228" i="1" a="1"/>
  <c r="L228" i="1" s="1"/>
  <c r="L229" i="1" a="1"/>
  <c r="L229" i="1" s="1"/>
  <c r="L230" i="1" a="1"/>
  <c r="L230" i="1" s="1"/>
  <c r="L231" i="1" a="1"/>
  <c r="L231" i="1" s="1"/>
  <c r="L232" i="1" a="1"/>
  <c r="L232" i="1" s="1"/>
  <c r="L233" i="1" a="1"/>
  <c r="L233" i="1" s="1"/>
  <c r="L234" i="1" a="1"/>
  <c r="L234" i="1" s="1"/>
  <c r="L235" i="1" a="1"/>
  <c r="L235" i="1" s="1"/>
  <c r="L236" i="1" a="1"/>
  <c r="L236" i="1" s="1"/>
  <c r="L237" i="1" a="1"/>
  <c r="L237" i="1" s="1"/>
  <c r="L238" i="1" a="1"/>
  <c r="L238" i="1" s="1"/>
  <c r="L239" i="1" a="1"/>
  <c r="L239" i="1" s="1"/>
  <c r="L240" i="1" a="1"/>
  <c r="L240" i="1" s="1"/>
  <c r="L241" i="1" a="1"/>
  <c r="L241" i="1" s="1"/>
  <c r="L242" i="1" a="1"/>
  <c r="L242" i="1" s="1"/>
  <c r="L243" i="1" a="1"/>
  <c r="L243" i="1" s="1"/>
  <c r="L244" i="1" a="1"/>
  <c r="L244" i="1" s="1"/>
  <c r="L245" i="1" a="1"/>
  <c r="L245" i="1" s="1"/>
  <c r="L246" i="1" a="1"/>
  <c r="L246" i="1" s="1"/>
  <c r="L247" i="1" a="1"/>
  <c r="L247" i="1" s="1"/>
  <c r="L248" i="1" a="1"/>
  <c r="L248" i="1" s="1"/>
  <c r="L249" i="1" a="1"/>
  <c r="L249" i="1" s="1"/>
  <c r="L250" i="1" a="1"/>
  <c r="L250" i="1" s="1"/>
  <c r="L251" i="1" a="1"/>
  <c r="L251" i="1" s="1"/>
  <c r="L252" i="1" a="1"/>
  <c r="L252" i="1" s="1"/>
  <c r="L253" i="1" a="1"/>
  <c r="L253" i="1" s="1"/>
  <c r="L254" i="1" a="1"/>
  <c r="L254" i="1" s="1"/>
  <c r="L255" i="1" a="1"/>
  <c r="L255" i="1" s="1"/>
  <c r="L256" i="1" a="1"/>
  <c r="L256" i="1" s="1"/>
  <c r="L257" i="1" a="1"/>
  <c r="L257" i="1" s="1"/>
  <c r="L258" i="1" a="1"/>
  <c r="L258" i="1" s="1"/>
  <c r="L259" i="1" a="1"/>
  <c r="L259" i="1" s="1"/>
  <c r="L260" i="1" a="1"/>
  <c r="L260" i="1" s="1"/>
  <c r="L261" i="1" a="1"/>
  <c r="L261" i="1" s="1"/>
  <c r="L262" i="1" a="1"/>
  <c r="L262" i="1" s="1"/>
  <c r="L263" i="1" a="1"/>
  <c r="L263" i="1" s="1"/>
  <c r="L264" i="1" a="1"/>
  <c r="L264" i="1" s="1"/>
  <c r="L265" i="1" a="1"/>
  <c r="L265" i="1" s="1"/>
  <c r="L266" i="1" a="1"/>
  <c r="L266" i="1" s="1"/>
  <c r="L267" i="1" a="1"/>
  <c r="L267" i="1" s="1"/>
  <c r="L268" i="1" a="1"/>
  <c r="L268" i="1" s="1"/>
  <c r="L269" i="1" a="1"/>
  <c r="L269" i="1" s="1"/>
  <c r="L270" i="1" a="1"/>
  <c r="L270" i="1" s="1"/>
  <c r="L271" i="1" a="1"/>
  <c r="L271" i="1" s="1"/>
  <c r="L272" i="1" a="1"/>
  <c r="L272" i="1" s="1"/>
  <c r="L273" i="1" a="1"/>
  <c r="L273" i="1" s="1"/>
  <c r="L274" i="1" a="1"/>
  <c r="L274" i="1" s="1"/>
  <c r="L275" i="1" a="1"/>
  <c r="L275" i="1" s="1"/>
  <c r="L276" i="1" a="1"/>
  <c r="L276" i="1" s="1"/>
  <c r="L277" i="1" a="1"/>
  <c r="L277" i="1" s="1"/>
  <c r="L278" i="1" a="1"/>
  <c r="L278" i="1" s="1"/>
  <c r="L279" i="1" a="1"/>
  <c r="L279" i="1" s="1"/>
  <c r="L280" i="1" a="1"/>
  <c r="L280" i="1" s="1"/>
  <c r="L281" i="1" a="1"/>
  <c r="L281" i="1" s="1"/>
  <c r="L282" i="1" a="1"/>
  <c r="L282" i="1" s="1"/>
  <c r="L283" i="1" a="1"/>
  <c r="L283" i="1" s="1"/>
  <c r="L284" i="1" a="1"/>
  <c r="L284" i="1" s="1"/>
  <c r="L285" i="1" a="1"/>
  <c r="L285" i="1" s="1"/>
  <c r="L286" i="1" a="1"/>
  <c r="L286" i="1" s="1"/>
  <c r="L287" i="1" a="1"/>
  <c r="L287" i="1" s="1"/>
  <c r="L288" i="1" a="1"/>
  <c r="L288" i="1" s="1"/>
  <c r="L289" i="1" a="1"/>
  <c r="L289" i="1" s="1"/>
  <c r="L290" i="1" a="1"/>
  <c r="L290" i="1" s="1"/>
  <c r="L291" i="1" a="1"/>
  <c r="L291" i="1" s="1"/>
  <c r="L292" i="1" a="1"/>
  <c r="L292" i="1" s="1"/>
  <c r="L293" i="1" a="1"/>
  <c r="L293" i="1" s="1"/>
  <c r="L294" i="1" a="1"/>
  <c r="L294" i="1" s="1"/>
  <c r="L295" i="1" a="1"/>
  <c r="L295" i="1" s="1"/>
  <c r="L296" i="1" a="1"/>
  <c r="L296" i="1" s="1"/>
  <c r="L297" i="1" a="1"/>
  <c r="L297" i="1" s="1"/>
  <c r="L298" i="1" a="1"/>
  <c r="L298" i="1" s="1"/>
  <c r="L299" i="1" a="1"/>
  <c r="L299" i="1" s="1"/>
  <c r="L300" i="1" a="1"/>
  <c r="L300" i="1" s="1"/>
  <c r="L301" i="1" a="1"/>
  <c r="L301" i="1" s="1"/>
  <c r="L302" i="1" a="1"/>
  <c r="L302" i="1" s="1"/>
  <c r="L303" i="1" a="1"/>
  <c r="L303" i="1" s="1"/>
  <c r="L304" i="1" a="1"/>
  <c r="L304" i="1" s="1"/>
  <c r="L305" i="1" a="1"/>
  <c r="L305" i="1" s="1"/>
  <c r="L306" i="1" a="1"/>
  <c r="L306" i="1" s="1"/>
  <c r="L307" i="1" a="1"/>
  <c r="L307" i="1" s="1"/>
  <c r="L308" i="1" a="1"/>
  <c r="L308" i="1" s="1"/>
  <c r="L309" i="1" a="1"/>
  <c r="L309" i="1" s="1"/>
  <c r="L310" i="1" a="1"/>
  <c r="L310" i="1" s="1"/>
  <c r="L311" i="1" a="1"/>
  <c r="L311" i="1" s="1"/>
  <c r="L312" i="1" a="1"/>
  <c r="L312" i="1" s="1"/>
  <c r="L313" i="1" a="1"/>
  <c r="L313" i="1" s="1"/>
  <c r="L314" i="1" a="1"/>
  <c r="L314" i="1" s="1"/>
  <c r="L315" i="1" a="1"/>
  <c r="L315" i="1" s="1"/>
  <c r="L316" i="1" a="1"/>
  <c r="L316" i="1" s="1"/>
  <c r="L317" i="1" a="1"/>
  <c r="L317" i="1" s="1"/>
  <c r="L318" i="1" a="1"/>
  <c r="L318" i="1" s="1"/>
  <c r="L319" i="1" a="1"/>
  <c r="L319" i="1" s="1"/>
  <c r="L320" i="1" a="1"/>
  <c r="L320" i="1" s="1"/>
  <c r="L321" i="1" a="1"/>
  <c r="L321" i="1" s="1"/>
  <c r="L322" i="1" a="1"/>
  <c r="L322" i="1" s="1"/>
  <c r="L323" i="1" a="1"/>
  <c r="L323" i="1" s="1"/>
  <c r="L324" i="1" a="1"/>
  <c r="L324" i="1" s="1"/>
  <c r="L325" i="1" a="1"/>
  <c r="L325" i="1" s="1"/>
  <c r="L326" i="1" a="1"/>
  <c r="L326" i="1" s="1"/>
  <c r="L327" i="1" a="1"/>
  <c r="L327" i="1" s="1"/>
  <c r="L328" i="1" a="1"/>
  <c r="L328" i="1" s="1"/>
  <c r="L329" i="1" a="1"/>
  <c r="L329" i="1" s="1"/>
  <c r="L330" i="1" a="1"/>
  <c r="L330" i="1" s="1"/>
  <c r="L331" i="1" a="1"/>
  <c r="L331" i="1" s="1"/>
  <c r="L332" i="1" a="1"/>
  <c r="L332" i="1" s="1"/>
  <c r="L333" i="1" a="1"/>
  <c r="L333" i="1" s="1"/>
  <c r="L334" i="1" a="1"/>
  <c r="L334" i="1" s="1"/>
  <c r="L335" i="1" a="1"/>
  <c r="L335" i="1" s="1"/>
  <c r="L336" i="1" a="1"/>
  <c r="L336" i="1" s="1"/>
  <c r="L337" i="1" a="1"/>
  <c r="L337" i="1" s="1"/>
  <c r="L338" i="1" a="1"/>
  <c r="L338" i="1" s="1"/>
  <c r="L339" i="1" a="1"/>
  <c r="L339" i="1" s="1"/>
  <c r="L340" i="1" a="1"/>
  <c r="L340" i="1" s="1"/>
  <c r="L341" i="1" a="1"/>
  <c r="L341" i="1" s="1"/>
  <c r="L342" i="1" a="1"/>
  <c r="L342" i="1" s="1"/>
  <c r="L343" i="1" a="1"/>
  <c r="L343" i="1" s="1"/>
  <c r="L344" i="1" a="1"/>
  <c r="L344" i="1" s="1"/>
  <c r="L345" i="1" a="1"/>
  <c r="L345" i="1" s="1"/>
  <c r="L346" i="1" a="1"/>
  <c r="L346" i="1" s="1"/>
  <c r="L347" i="1" a="1"/>
  <c r="L347" i="1" s="1"/>
  <c r="L348" i="1" a="1"/>
  <c r="L348" i="1" s="1"/>
  <c r="L349" i="1" a="1"/>
  <c r="L349" i="1" s="1"/>
  <c r="L350" i="1" a="1"/>
  <c r="L350" i="1" s="1"/>
  <c r="L351" i="1" a="1"/>
  <c r="L351" i="1" s="1"/>
  <c r="L352" i="1" a="1"/>
  <c r="L352" i="1" s="1"/>
  <c r="L353" i="1" a="1"/>
  <c r="L353" i="1" s="1"/>
  <c r="L354" i="1" a="1"/>
  <c r="L354" i="1" s="1"/>
  <c r="L355" i="1" a="1"/>
  <c r="L355" i="1" s="1"/>
  <c r="L356" i="1" a="1"/>
  <c r="L356" i="1" s="1"/>
  <c r="L357" i="1" a="1"/>
  <c r="L357" i="1" s="1"/>
  <c r="L358" i="1" a="1"/>
  <c r="L358" i="1" s="1"/>
  <c r="L359" i="1" a="1"/>
  <c r="L359" i="1" s="1"/>
  <c r="L360" i="1" a="1"/>
  <c r="L360" i="1" s="1"/>
  <c r="L361" i="1" a="1"/>
  <c r="L361" i="1" s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AE5" i="2"/>
  <c r="AE6" i="2"/>
  <c r="AE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<sst xmlns="http://schemas.openxmlformats.org/spreadsheetml/2006/main" count="2575" uniqueCount="440">
  <si>
    <t>V-0001</t>
  </si>
  <si>
    <t>Febrero</t>
  </si>
  <si>
    <t>Agustín</t>
  </si>
  <si>
    <t>AMBA</t>
  </si>
  <si>
    <t>Comederos</t>
  </si>
  <si>
    <t>Comedero Doble</t>
  </si>
  <si>
    <t>Retail</t>
  </si>
  <si>
    <t>V-0002</t>
  </si>
  <si>
    <t>Agosto</t>
  </si>
  <si>
    <t>Lucía</t>
  </si>
  <si>
    <t>Centro</t>
  </si>
  <si>
    <t>Camas</t>
  </si>
  <si>
    <t>Cama Rectangular M</t>
  </si>
  <si>
    <t>V-0003</t>
  </si>
  <si>
    <t>Mayo</t>
  </si>
  <si>
    <t>Hernán</t>
  </si>
  <si>
    <t>Norte</t>
  </si>
  <si>
    <t>Juguetes</t>
  </si>
  <si>
    <t>Pelota Goma</t>
  </si>
  <si>
    <t>Distribuidor</t>
  </si>
  <si>
    <t>V-0004</t>
  </si>
  <si>
    <t>Demian</t>
  </si>
  <si>
    <t>Transporte</t>
  </si>
  <si>
    <t>Transportadora L</t>
  </si>
  <si>
    <t>Mayorista</t>
  </si>
  <si>
    <t>V-0005</t>
  </si>
  <si>
    <t>Marzo</t>
  </si>
  <si>
    <t>Carolina</t>
  </si>
  <si>
    <t>Cama Rectangular S</t>
  </si>
  <si>
    <t>V-0006</t>
  </si>
  <si>
    <t>Cama Rectangular L</t>
  </si>
  <si>
    <t>V-0007</t>
  </si>
  <si>
    <t>Enero</t>
  </si>
  <si>
    <t>Germán</t>
  </si>
  <si>
    <t>Comedero Simple</t>
  </si>
  <si>
    <t>V-0008</t>
  </si>
  <si>
    <t>Cuyo</t>
  </si>
  <si>
    <t>V-0009</t>
  </si>
  <si>
    <t>Comedero Antideslizante</t>
  </si>
  <si>
    <t>V-0010</t>
  </si>
  <si>
    <t>Transportadora S</t>
  </si>
  <si>
    <t>V-0011</t>
  </si>
  <si>
    <t>Higiene</t>
  </si>
  <si>
    <t>Bandeja Sanitaria</t>
  </si>
  <si>
    <t>V-0012</t>
  </si>
  <si>
    <t>Junio</t>
  </si>
  <si>
    <t>V-0013</t>
  </si>
  <si>
    <t>Abril</t>
  </si>
  <si>
    <t>V-0014</t>
  </si>
  <si>
    <t>Pala Sanitaria</t>
  </si>
  <si>
    <t>V-0015</t>
  </si>
  <si>
    <t>V-0016</t>
  </si>
  <si>
    <t>Julio</t>
  </si>
  <si>
    <t>Sur</t>
  </si>
  <si>
    <t>V-0017</t>
  </si>
  <si>
    <t>Transportadora M</t>
  </si>
  <si>
    <t>V-0018</t>
  </si>
  <si>
    <t>V-0019</t>
  </si>
  <si>
    <t>Soga Nudos</t>
  </si>
  <si>
    <t>V-0020</t>
  </si>
  <si>
    <t>V-0021</t>
  </si>
  <si>
    <t>V-0022</t>
  </si>
  <si>
    <t>V-0023</t>
  </si>
  <si>
    <t>V-0024</t>
  </si>
  <si>
    <t>V-0025</t>
  </si>
  <si>
    <t>Rodillo Quitapelos</t>
  </si>
  <si>
    <t>V-0026</t>
  </si>
  <si>
    <t>V-0027</t>
  </si>
  <si>
    <t>Mordillo Dental</t>
  </si>
  <si>
    <t>V-0028</t>
  </si>
  <si>
    <t>V-0029</t>
  </si>
  <si>
    <t>Bebedero Automático</t>
  </si>
  <si>
    <t>V-0030</t>
  </si>
  <si>
    <t>V-0031</t>
  </si>
  <si>
    <t>Juguete Interactivo</t>
  </si>
  <si>
    <t>V-0032</t>
  </si>
  <si>
    <t>V-0033</t>
  </si>
  <si>
    <t>V-0034</t>
  </si>
  <si>
    <t>V-0035</t>
  </si>
  <si>
    <t>V-0036</t>
  </si>
  <si>
    <t>V-0037</t>
  </si>
  <si>
    <t>V-0038</t>
  </si>
  <si>
    <t>V-0039</t>
  </si>
  <si>
    <t>V-0040</t>
  </si>
  <si>
    <t>V-0041</t>
  </si>
  <si>
    <t>V-0042</t>
  </si>
  <si>
    <t>V-0043</t>
  </si>
  <si>
    <t>V-0044</t>
  </si>
  <si>
    <t>V-0045</t>
  </si>
  <si>
    <t>V-0046</t>
  </si>
  <si>
    <t>V-0047</t>
  </si>
  <si>
    <t>V-0048</t>
  </si>
  <si>
    <t>V-0049</t>
  </si>
  <si>
    <t>V-0050</t>
  </si>
  <si>
    <t>V-0051</t>
  </si>
  <si>
    <t>V-0052</t>
  </si>
  <si>
    <t>V-0053</t>
  </si>
  <si>
    <t>V-0054</t>
  </si>
  <si>
    <t>V-0055</t>
  </si>
  <si>
    <t>V-0056</t>
  </si>
  <si>
    <t>V-0057</t>
  </si>
  <si>
    <t>V-0058</t>
  </si>
  <si>
    <t>V-0059</t>
  </si>
  <si>
    <t>V-0060</t>
  </si>
  <si>
    <t>V-0061</t>
  </si>
  <si>
    <t>V-0062</t>
  </si>
  <si>
    <t>V-0063</t>
  </si>
  <si>
    <t>V-0064</t>
  </si>
  <si>
    <t>V-0065</t>
  </si>
  <si>
    <t>V-0066</t>
  </si>
  <si>
    <t>V-0067</t>
  </si>
  <si>
    <t>V-0068</t>
  </si>
  <si>
    <t>V-0069</t>
  </si>
  <si>
    <t>V-0070</t>
  </si>
  <si>
    <t>V-0071</t>
  </si>
  <si>
    <t>V-0072</t>
  </si>
  <si>
    <t>V-0073</t>
  </si>
  <si>
    <t>V-0074</t>
  </si>
  <si>
    <t>V-0075</t>
  </si>
  <si>
    <t>V-0076</t>
  </si>
  <si>
    <t>V-0077</t>
  </si>
  <si>
    <t>V-0078</t>
  </si>
  <si>
    <t>V-0079</t>
  </si>
  <si>
    <t>V-0080</t>
  </si>
  <si>
    <t>V-0081</t>
  </si>
  <si>
    <t>Cepillo Mascotas</t>
  </si>
  <si>
    <t>V-0082</t>
  </si>
  <si>
    <t>V-0083</t>
  </si>
  <si>
    <t>V-0084</t>
  </si>
  <si>
    <t>V-0085</t>
  </si>
  <si>
    <t>V-0086</t>
  </si>
  <si>
    <t>V-0087</t>
  </si>
  <si>
    <t>V-0088</t>
  </si>
  <si>
    <t>V-0089</t>
  </si>
  <si>
    <t>V-0090</t>
  </si>
  <si>
    <t>V-0091</t>
  </si>
  <si>
    <t>V-0092</t>
  </si>
  <si>
    <t>V-0093</t>
  </si>
  <si>
    <t>V-0094</t>
  </si>
  <si>
    <t>V-0095</t>
  </si>
  <si>
    <t>V-0096</t>
  </si>
  <si>
    <t>V-0097</t>
  </si>
  <si>
    <t>V-0098</t>
  </si>
  <si>
    <t>V-0099</t>
  </si>
  <si>
    <t>Cama Cueva</t>
  </si>
  <si>
    <t>V-0100</t>
  </si>
  <si>
    <t>V-0101</t>
  </si>
  <si>
    <t>V-0102</t>
  </si>
  <si>
    <t>V-0103</t>
  </si>
  <si>
    <t>V-0104</t>
  </si>
  <si>
    <t>V-0105</t>
  </si>
  <si>
    <t>V-0106</t>
  </si>
  <si>
    <t>V-0107</t>
  </si>
  <si>
    <t>V-0108</t>
  </si>
  <si>
    <t>V-0109</t>
  </si>
  <si>
    <t>V-0110</t>
  </si>
  <si>
    <t>V-0111</t>
  </si>
  <si>
    <t>V-0112</t>
  </si>
  <si>
    <t>V-0113</t>
  </si>
  <si>
    <t>V-0114</t>
  </si>
  <si>
    <t>V-0115</t>
  </si>
  <si>
    <t>V-0116</t>
  </si>
  <si>
    <t>V-0117</t>
  </si>
  <si>
    <t>V-0118</t>
  </si>
  <si>
    <t>V-0119</t>
  </si>
  <si>
    <t>V-0120</t>
  </si>
  <si>
    <t>V-0121</t>
  </si>
  <si>
    <t>V-0122</t>
  </si>
  <si>
    <t>V-0123</t>
  </si>
  <si>
    <t>V-0124</t>
  </si>
  <si>
    <t>V-0125</t>
  </si>
  <si>
    <t>V-0126</t>
  </si>
  <si>
    <t>V-0127</t>
  </si>
  <si>
    <t>V-0128</t>
  </si>
  <si>
    <t>V-0129</t>
  </si>
  <si>
    <t>V-0130</t>
  </si>
  <si>
    <t>V-0131</t>
  </si>
  <si>
    <t>V-0132</t>
  </si>
  <si>
    <t>V-0133</t>
  </si>
  <si>
    <t>V-0134</t>
  </si>
  <si>
    <t>V-0135</t>
  </si>
  <si>
    <t>V-0136</t>
  </si>
  <si>
    <t>V-0137</t>
  </si>
  <si>
    <t>V-0138</t>
  </si>
  <si>
    <t>V-0139</t>
  </si>
  <si>
    <t>V-0140</t>
  </si>
  <si>
    <t>V-0141</t>
  </si>
  <si>
    <t>V-0142</t>
  </si>
  <si>
    <t>V-0143</t>
  </si>
  <si>
    <t>V-0144</t>
  </si>
  <si>
    <t>V-0145</t>
  </si>
  <si>
    <t>V-0146</t>
  </si>
  <si>
    <t>V-0147</t>
  </si>
  <si>
    <t>V-0148</t>
  </si>
  <si>
    <t>V-0149</t>
  </si>
  <si>
    <t>V-0150</t>
  </si>
  <si>
    <t>V-0151</t>
  </si>
  <si>
    <t>V-0152</t>
  </si>
  <si>
    <t>V-0153</t>
  </si>
  <si>
    <t>V-0154</t>
  </si>
  <si>
    <t>V-0155</t>
  </si>
  <si>
    <t>V-0156</t>
  </si>
  <si>
    <t>V-0157</t>
  </si>
  <si>
    <t>V-0158</t>
  </si>
  <si>
    <t>V-0159</t>
  </si>
  <si>
    <t>V-0160</t>
  </si>
  <si>
    <t>V-0161</t>
  </si>
  <si>
    <t>V-0162</t>
  </si>
  <si>
    <t>V-0163</t>
  </si>
  <si>
    <t>V-0164</t>
  </si>
  <si>
    <t>V-0165</t>
  </si>
  <si>
    <t>V-0166</t>
  </si>
  <si>
    <t>V-0167</t>
  </si>
  <si>
    <t>V-0168</t>
  </si>
  <si>
    <t>V-0169</t>
  </si>
  <si>
    <t>V-0170</t>
  </si>
  <si>
    <t>V-0171</t>
  </si>
  <si>
    <t>V-0172</t>
  </si>
  <si>
    <t>V-0173</t>
  </si>
  <si>
    <t>V-0174</t>
  </si>
  <si>
    <t>V-0175</t>
  </si>
  <si>
    <t>V-0176</t>
  </si>
  <si>
    <t>V-0177</t>
  </si>
  <si>
    <t>V-0178</t>
  </si>
  <si>
    <t>V-0179</t>
  </si>
  <si>
    <t>V-0180</t>
  </si>
  <si>
    <t>V-0181</t>
  </si>
  <si>
    <t>V-0182</t>
  </si>
  <si>
    <t>V-0183</t>
  </si>
  <si>
    <t>V-0184</t>
  </si>
  <si>
    <t>V-0185</t>
  </si>
  <si>
    <t>V-0186</t>
  </si>
  <si>
    <t>V-0187</t>
  </si>
  <si>
    <t>V-0188</t>
  </si>
  <si>
    <t>V-0189</t>
  </si>
  <si>
    <t>V-0190</t>
  </si>
  <si>
    <t>V-0191</t>
  </si>
  <si>
    <t>V-0192</t>
  </si>
  <si>
    <t>V-0193</t>
  </si>
  <si>
    <t>V-0194</t>
  </si>
  <si>
    <t>V-0195</t>
  </si>
  <si>
    <t>V-0196</t>
  </si>
  <si>
    <t>V-0197</t>
  </si>
  <si>
    <t>V-0198</t>
  </si>
  <si>
    <t>V-0199</t>
  </si>
  <si>
    <t>V-0200</t>
  </si>
  <si>
    <t>V-0201</t>
  </si>
  <si>
    <t>V-0202</t>
  </si>
  <si>
    <t>V-0203</t>
  </si>
  <si>
    <t>V-0204</t>
  </si>
  <si>
    <t>V-0205</t>
  </si>
  <si>
    <t>V-0206</t>
  </si>
  <si>
    <t>V-0207</t>
  </si>
  <si>
    <t>V-0208</t>
  </si>
  <si>
    <t>V-0209</t>
  </si>
  <si>
    <t>V-0210</t>
  </si>
  <si>
    <t>V-0211</t>
  </si>
  <si>
    <t>V-0212</t>
  </si>
  <si>
    <t>V-0213</t>
  </si>
  <si>
    <t>V-0214</t>
  </si>
  <si>
    <t>V-0215</t>
  </si>
  <si>
    <t>V-0216</t>
  </si>
  <si>
    <t>V-0217</t>
  </si>
  <si>
    <t>V-0218</t>
  </si>
  <si>
    <t>V-0219</t>
  </si>
  <si>
    <t>V-0220</t>
  </si>
  <si>
    <t>V-0221</t>
  </si>
  <si>
    <t>V-0222</t>
  </si>
  <si>
    <t>V-0223</t>
  </si>
  <si>
    <t>V-0224</t>
  </si>
  <si>
    <t>V-0225</t>
  </si>
  <si>
    <t>V-0226</t>
  </si>
  <si>
    <t>V-0227</t>
  </si>
  <si>
    <t>V-0228</t>
  </si>
  <si>
    <t>V-0229</t>
  </si>
  <si>
    <t>V-0230</t>
  </si>
  <si>
    <t>V-0231</t>
  </si>
  <si>
    <t>V-0232</t>
  </si>
  <si>
    <t>V-0233</t>
  </si>
  <si>
    <t>V-0234</t>
  </si>
  <si>
    <t>V-0235</t>
  </si>
  <si>
    <t>V-0236</t>
  </si>
  <si>
    <t>V-0237</t>
  </si>
  <si>
    <t>V-0238</t>
  </si>
  <si>
    <t>V-0239</t>
  </si>
  <si>
    <t>V-0240</t>
  </si>
  <si>
    <t>V-0241</t>
  </si>
  <si>
    <t>V-0242</t>
  </si>
  <si>
    <t>V-0243</t>
  </si>
  <si>
    <t>V-0244</t>
  </si>
  <si>
    <t>V-0245</t>
  </si>
  <si>
    <t>V-0246</t>
  </si>
  <si>
    <t>V-0247</t>
  </si>
  <si>
    <t>V-0248</t>
  </si>
  <si>
    <t>V-0249</t>
  </si>
  <si>
    <t>V-0250</t>
  </si>
  <si>
    <t>V-0251</t>
  </si>
  <si>
    <t>V-0252</t>
  </si>
  <si>
    <t>V-0253</t>
  </si>
  <si>
    <t>V-0254</t>
  </si>
  <si>
    <t>V-0255</t>
  </si>
  <si>
    <t>V-0256</t>
  </si>
  <si>
    <t>V-0257</t>
  </si>
  <si>
    <t>V-0258</t>
  </si>
  <si>
    <t>V-0259</t>
  </si>
  <si>
    <t>V-0260</t>
  </si>
  <si>
    <t>V-0261</t>
  </si>
  <si>
    <t>V-0262</t>
  </si>
  <si>
    <t>V-0263</t>
  </si>
  <si>
    <t>V-0264</t>
  </si>
  <si>
    <t>V-0265</t>
  </si>
  <si>
    <t>V-0266</t>
  </si>
  <si>
    <t>V-0267</t>
  </si>
  <si>
    <t>V-0268</t>
  </si>
  <si>
    <t>V-0269</t>
  </si>
  <si>
    <t>V-0270</t>
  </si>
  <si>
    <t>V-0271</t>
  </si>
  <si>
    <t>V-0272</t>
  </si>
  <si>
    <t>V-0273</t>
  </si>
  <si>
    <t>V-0274</t>
  </si>
  <si>
    <t>V-0275</t>
  </si>
  <si>
    <t>V-0276</t>
  </si>
  <si>
    <t>V-0277</t>
  </si>
  <si>
    <t>V-0278</t>
  </si>
  <si>
    <t>V-0279</t>
  </si>
  <si>
    <t>V-0280</t>
  </si>
  <si>
    <t>V-0281</t>
  </si>
  <si>
    <t>V-0282</t>
  </si>
  <si>
    <t>V-0283</t>
  </si>
  <si>
    <t>V-0284</t>
  </si>
  <si>
    <t>V-0285</t>
  </si>
  <si>
    <t>V-0286</t>
  </si>
  <si>
    <t>V-0287</t>
  </si>
  <si>
    <t>V-0288</t>
  </si>
  <si>
    <t>V-0289</t>
  </si>
  <si>
    <t>V-0290</t>
  </si>
  <si>
    <t>V-0291</t>
  </si>
  <si>
    <t>V-0292</t>
  </si>
  <si>
    <t>V-0293</t>
  </si>
  <si>
    <t>V-0294</t>
  </si>
  <si>
    <t>V-0295</t>
  </si>
  <si>
    <t>V-0296</t>
  </si>
  <si>
    <t>V-0297</t>
  </si>
  <si>
    <t>V-0298</t>
  </si>
  <si>
    <t>V-0299</t>
  </si>
  <si>
    <t>V-0300</t>
  </si>
  <si>
    <t>V-0301</t>
  </si>
  <si>
    <t>V-0302</t>
  </si>
  <si>
    <t>V-0303</t>
  </si>
  <si>
    <t>V-0304</t>
  </si>
  <si>
    <t>V-0305</t>
  </si>
  <si>
    <t>V-0306</t>
  </si>
  <si>
    <t>V-0307</t>
  </si>
  <si>
    <t>V-0308</t>
  </si>
  <si>
    <t>V-0309</t>
  </si>
  <si>
    <t>V-0310</t>
  </si>
  <si>
    <t>V-0311</t>
  </si>
  <si>
    <t>V-0312</t>
  </si>
  <si>
    <t>V-0313</t>
  </si>
  <si>
    <t>V-0314</t>
  </si>
  <si>
    <t>V-0315</t>
  </si>
  <si>
    <t>V-0316</t>
  </si>
  <si>
    <t>V-0317</t>
  </si>
  <si>
    <t>V-0318</t>
  </si>
  <si>
    <t>V-0319</t>
  </si>
  <si>
    <t>V-0320</t>
  </si>
  <si>
    <t>V-0321</t>
  </si>
  <si>
    <t>V-0322</t>
  </si>
  <si>
    <t>V-0323</t>
  </si>
  <si>
    <t>V-0324</t>
  </si>
  <si>
    <t>V-0325</t>
  </si>
  <si>
    <t>V-0326</t>
  </si>
  <si>
    <t>V-0327</t>
  </si>
  <si>
    <t>V-0328</t>
  </si>
  <si>
    <t>V-0329</t>
  </si>
  <si>
    <t>V-0330</t>
  </si>
  <si>
    <t>V-0331</t>
  </si>
  <si>
    <t>V-0332</t>
  </si>
  <si>
    <t>V-0333</t>
  </si>
  <si>
    <t>V-0334</t>
  </si>
  <si>
    <t>V-0335</t>
  </si>
  <si>
    <t>V-0336</t>
  </si>
  <si>
    <t>V-0337</t>
  </si>
  <si>
    <t>V-0338</t>
  </si>
  <si>
    <t>V-0339</t>
  </si>
  <si>
    <t>V-0340</t>
  </si>
  <si>
    <t>V-0341</t>
  </si>
  <si>
    <t>V-0342</t>
  </si>
  <si>
    <t>V-0343</t>
  </si>
  <si>
    <t>V-0344</t>
  </si>
  <si>
    <t>V-0345</t>
  </si>
  <si>
    <t>V-0346</t>
  </si>
  <si>
    <t>V-0347</t>
  </si>
  <si>
    <t>V-0348</t>
  </si>
  <si>
    <t>V-0349</t>
  </si>
  <si>
    <t>V-0350</t>
  </si>
  <si>
    <t>V-0351</t>
  </si>
  <si>
    <t>V-0352</t>
  </si>
  <si>
    <t>V-0353</t>
  </si>
  <si>
    <t>V-0354</t>
  </si>
  <si>
    <t>V-0355</t>
  </si>
  <si>
    <t>V-0356</t>
  </si>
  <si>
    <t>V-0357</t>
  </si>
  <si>
    <t>V-0358</t>
  </si>
  <si>
    <t>V-0359</t>
  </si>
  <si>
    <t>V-0360</t>
  </si>
  <si>
    <t>ID Venta</t>
  </si>
  <si>
    <t>Fecha</t>
  </si>
  <si>
    <t>Mes</t>
  </si>
  <si>
    <t>Vendedor</t>
  </si>
  <si>
    <t>Región</t>
  </si>
  <si>
    <t>Categoría</t>
  </si>
  <si>
    <t>Producto</t>
  </si>
  <si>
    <t>Canal</t>
  </si>
  <si>
    <t>Unidades</t>
  </si>
  <si>
    <t>Precio Unitario</t>
  </si>
  <si>
    <t>Venta Total</t>
  </si>
  <si>
    <t>Total general</t>
  </si>
  <si>
    <t>Categoria</t>
  </si>
  <si>
    <t>Ventas por Vendedor</t>
  </si>
  <si>
    <t>Ventas por Categoría</t>
  </si>
  <si>
    <t>Ventas por Región</t>
  </si>
  <si>
    <t>Motor de Análisis de Ventas</t>
  </si>
  <si>
    <t>Análisis por Vendedor, Región y Categoría | 2026</t>
  </si>
  <si>
    <t>Costo Unitario</t>
  </si>
  <si>
    <t>Costo Total</t>
  </si>
  <si>
    <t>Margen $</t>
  </si>
  <si>
    <t>Margen %</t>
  </si>
  <si>
    <t>Suma de Margen $</t>
  </si>
  <si>
    <t>Suma de Unidades</t>
  </si>
  <si>
    <t>Suma de Venta Total</t>
  </si>
  <si>
    <t>VENTAS TOTALES</t>
  </si>
  <si>
    <t>MARGEN %</t>
  </si>
  <si>
    <t>UNIDADES VENDIDAS</t>
  </si>
  <si>
    <t>Ventas</t>
  </si>
  <si>
    <t>Costos</t>
  </si>
  <si>
    <t>Margen</t>
  </si>
  <si>
    <t>Suma de Costo Total</t>
  </si>
  <si>
    <t>concepto</t>
  </si>
  <si>
    <t>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</si>
</sst>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5" x14ac:knownFonts="1">
    <font>
      <sz val="11"/>
      <color theme="1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164" fontId="0" fillId="0" borderId="0" xfId="0" applyNumberFormat="1"/>
    <xf numFmtId="164" fontId="0" fillId="0" borderId="1" xfId="0" applyNumberFormat="1" applyBorder="1"/>
    <xf numFmtId="14" fontId="0" fillId="0" borderId="0" xfId="0" applyNumberFormat="1"/>
    <xf numFmtId="14" fontId="0" fillId="0" borderId="1" xfId="0" applyNumberFormat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165" fontId="0" fillId="0" borderId="1" xfId="0" applyNumberFormat="1" applyBorder="1"/>
    <xf numFmtId="0" fontId="0" fillId="2" borderId="0" xfId="0" applyFill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4" fontId="0" fillId="0" borderId="2" xfId="0" applyNumberFormat="1" applyBorder="1"/>
    <xf numFmtId="164" fontId="0" fillId="0" borderId="3" xfId="0" applyNumberFormat="1" applyBorder="1"/>
    <xf numFmtId="10" fontId="0" fillId="0" borderId="0" xfId="0" applyNumberFormat="1"/>
    <xf numFmtId="10" fontId="0" fillId="0" borderId="2" xfId="0" applyNumberFormat="1" applyBorder="1"/>
    <xf numFmtId="10" fontId="0" fillId="0" borderId="1" xfId="0" applyNumberFormat="1" applyBorder="1"/>
    <xf numFmtId="10" fontId="0" fillId="0" borderId="3" xfId="0" applyNumberFormat="1" applyBorder="1"/>
    <xf numFmtId="0" fontId="0" fillId="0" borderId="1" xfId="0" applyNumberFormat="1" applyBorder="1"/>
    <xf numFmtId="0" fontId="3" fillId="3" borderId="1" xfId="0" applyFont="1" applyFill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165" fontId="4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106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  <dxf>
      <fill>
        <patternFill>
          <fgColor auto="1"/>
          <bgColor theme="9" tint="0.39994506668294322"/>
        </patternFill>
      </fill>
    </dxf>
    <dxf>
      <fill>
        <patternFill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164" formatCode="&quot;$&quot;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</dxfs>
  <tableStyles count="0" defaultTableStyle="TableStyleMedium2" defaultPivotStyle="PivotStyleLight16"/>
  <colors>
    <mruColors>
      <color rgb="FFFF5050"/>
      <color rgb="FFFA74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eetMetadata" Target="metadata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[entrega9.xlsx]Soporte Dashboard!TablaDinámica1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baseline="0"/>
              <a:t>Comparación de facturación entre vendedores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'Soporte Dashboard'!$H$1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'Soporte Dashboard'!$G$2:$G$8</c:f>
              <c:strCache>
                <c:ptCount val="6"/>
                <c:pt idx="0">
                  <c:v>Agustín</c:v>
                </c:pt>
                <c:pt idx="1">
                  <c:v>Carolina</c:v>
                </c:pt>
                <c:pt idx="2">
                  <c:v>Demian</c:v>
                </c:pt>
                <c:pt idx="3">
                  <c:v>Germán</c:v>
                </c:pt>
                <c:pt idx="4">
                  <c:v>Hernán</c:v>
                </c:pt>
                <c:pt idx="5">
                  <c:v>Lucía</c:v>
                </c:pt>
              </c:strCache>
            </c:strRef>
          </c:cat>
          <c:val>
            <c:numRef>
              <c:f>'Soporte Dashboard'!$H$2:$H$8</c:f>
              <c:numCache>
                <c:formatCode>"$"#,##0</c:formatCode>
                <c:ptCount val="6"/>
                <c:pt idx="0">
                  <c:v>30734800</c:v>
                </c:pt>
                <c:pt idx="1">
                  <c:v>29960200</c:v>
                </c:pt>
                <c:pt idx="2">
                  <c:v>29443000</c:v>
                </c:pt>
                <c:pt idx="3">
                  <c:v>33903200</c:v>
                </c:pt>
                <c:pt idx="4">
                  <c:v>36742700</c:v>
                </c:pt>
                <c:pt idx="5">
                  <c:v>38942200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67-4CF1-B4A9-1D9BCBB8D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0311855"/>
        <c:axId val="391799039"/>
      </c:barChart>
      <c:catAx>
        <c:axId val="171031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1799039"/>
        <c:crosses val="autoZero"/>
        <c:auto val="1"/>
        <c:lblAlgn val="ctr"/>
        <c:lblOffset val="100"/>
        <c:noMultiLvlLbl val="0"/>
      </c:catAx>
      <c:valAx>
        <c:axId val="39179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10311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[entrega9.xlsx]Soporte Dashboard!TablaDinámica3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baseline="0"/>
              <a:t>Comparación de facturación por categoría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'Soporte Dashboard'!$E$1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'Soporte Dashboard'!$D$2:$D$7</c:f>
              <c:strCache>
                <c:ptCount val="5"/>
                <c:pt idx="0">
                  <c:v>Camas</c:v>
                </c:pt>
                <c:pt idx="1">
                  <c:v>Comederos</c:v>
                </c:pt>
                <c:pt idx="2">
                  <c:v>Higiene</c:v>
                </c:pt>
                <c:pt idx="3">
                  <c:v>Juguetes</c:v>
                </c:pt>
                <c:pt idx="4">
                  <c:v>Transporte</c:v>
                </c:pt>
              </c:strCache>
            </c:strRef>
          </c:cat>
          <c:val>
            <c:numRef>
              <c:f>'Soporte Dashboard'!$E$2:$E$7</c:f>
              <c:numCache>
                <c:formatCode>"$"#,##0</c:formatCode>
                <c:ptCount val="5"/>
                <c:pt idx="0">
                  <c:v>50611300</c:v>
                </c:pt>
                <c:pt idx="1">
                  <c:v>23012400</c:v>
                </c:pt>
                <c:pt idx="2">
                  <c:v>17366800</c:v>
                </c:pt>
                <c:pt idx="3">
                  <c:v>11187200</c:v>
                </c:pt>
                <c:pt idx="4">
                  <c:v>97548400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36-495C-8A2E-F6A6F542A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2293535"/>
        <c:axId val="391798079"/>
      </c:barChart>
      <c:catAx>
        <c:axId val="192229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1798079"/>
        <c:crosses val="autoZero"/>
        <c:auto val="1"/>
        <c:lblAlgn val="ctr"/>
        <c:lblOffset val="100"/>
        <c:noMultiLvlLbl val="0"/>
      </c:catAx>
      <c:valAx>
        <c:axId val="39179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22293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_xlchart.v1.8</cx:f>
      </cx:numDim>
    </cx:data>
  </cx:chartData>
  <cx:chart>
    <cx:title pos="t" align="ctr" overlay="0">
      <cx:tx>
        <cx:txData>
          <cx:f>_xlchart.v1.3</cx:f>
          <cx:v>El costo absorbe el 67,57% de las ventas y deja un margen del 32,43%</cx:v>
        </cx:txData>
      </cx:tx>
      <cx:txPr>
        <a:bodyPr spcFirstLastPara="1" vertOverflow="ellipsis" horzOverflow="overflow" wrap="square" lIns="0" tIns="0" rIns="0" bIns="0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El costo absorbe el 67,57% de las ventas y deja un margen del 32,43%</a:t>
          </a:r>
        </a:p>
      </cx:txPr>
    </cx:title>
    <cx:plotArea>
      <cx:plotAreaRegion>
        <cx:series layoutId="waterfall" uniqueId="{00000000-80CA-4582-B279-951D1EEE191B}" formatIdx="0">
          <cx:tx>
            <cx:txData>
              <cx:f>_xlchart.v1.6</cx:f>
              <cx:v>importe</cx:v>
            </cx:txData>
          </cx:tx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2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95249</xdr:colOff>
      <xdr:row>4</xdr:row>
      <xdr:rowOff>90487</xdr:rowOff>
    </xdr:from>
    <xdr:to>
      <xdr:col>3</xdr:col>
      <xdr:colOff>1132349</xdr:colOff>
      <xdr:row>16</xdr:row>
      <xdr:rowOff>94087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3D926F5-73A6-D0F9-2D4D-86F3CF4D1B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</xdr:row>
      <xdr:rowOff>33337</xdr:rowOff>
    </xdr:from>
    <xdr:to>
      <xdr:col>15</xdr:col>
      <xdr:colOff>990600</xdr:colOff>
      <xdr:row>13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A3D8781-6CE7-766E-53BC-2FFB0007C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202449</xdr:colOff>
      <xdr:row>4</xdr:row>
      <xdr:rowOff>104775</xdr:rowOff>
    </xdr:from>
    <xdr:to>
      <xdr:col>6</xdr:col>
      <xdr:colOff>21474</xdr:colOff>
      <xdr:row>14</xdr:row>
      <xdr:rowOff>85726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Región">
              <a:extLst>
                <a:ext uri="{FF2B5EF4-FFF2-40B4-BE49-F238E27FC236}">
                  <a16:creationId xmlns:a16="http://schemas.microsoft.com/office/drawing/2014/main" id="{02F2F7C8-2F74-BFC2-FAC1-EFEE4AFEA9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ó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07724" y="1200150"/>
              <a:ext cx="1828800" cy="18859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101224</xdr:colOff>
      <xdr:row>4</xdr:row>
      <xdr:rowOff>114300</xdr:rowOff>
    </xdr:from>
    <xdr:to>
      <xdr:col>8</xdr:col>
      <xdr:colOff>15499</xdr:colOff>
      <xdr:row>14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Mes">
              <a:extLst>
                <a:ext uri="{FF2B5EF4-FFF2-40B4-BE49-F238E27FC236}">
                  <a16:creationId xmlns:a16="http://schemas.microsoft.com/office/drawing/2014/main" id="{0EFBB1C1-1904-9C8B-E270-93B56057A2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16274" y="1209675"/>
              <a:ext cx="1828800" cy="1895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123825</xdr:colOff>
      <xdr:row>4</xdr:row>
      <xdr:rowOff>114301</xdr:rowOff>
    </xdr:from>
    <xdr:to>
      <xdr:col>9</xdr:col>
      <xdr:colOff>1190625</xdr:colOff>
      <xdr:row>14</xdr:row>
      <xdr:rowOff>95251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ategoría">
              <a:extLst>
                <a:ext uri="{FF2B5EF4-FFF2-40B4-BE49-F238E27FC236}">
                  <a16:creationId xmlns:a16="http://schemas.microsoft.com/office/drawing/2014/main" id="{EAFE29CE-9263-9AF0-B76F-386891D0FB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53400" y="1209676"/>
              <a:ext cx="1828800" cy="1885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11</xdr:col>
      <xdr:colOff>0</xdr:colOff>
      <xdr:row>14</xdr:row>
      <xdr:rowOff>119062</xdr:rowOff>
    </xdr:from>
    <xdr:to>
      <xdr:col>15</xdr:col>
      <xdr:colOff>971550</xdr:colOff>
      <xdr:row>29</xdr:row>
      <xdr:rowOff>4762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894E80E9-4AA8-4D3C-237D-F10857F312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01425" y="3119437"/>
              <a:ext cx="555307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0</xdr:col>
      <xdr:colOff>133350</xdr:colOff>
      <xdr:row>17</xdr:row>
      <xdr:rowOff>114300</xdr:rowOff>
    </xdr:from>
    <xdr:to>
      <xdr:col>8</xdr:col>
      <xdr:colOff>247650</xdr:colOff>
      <xdr:row>21</xdr:row>
      <xdr:rowOff>104775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5699C224-0339-B68A-8CEB-5EFFAEAC596F}"/>
            </a:ext>
          </a:extLst>
        </xdr:cNvPr>
        <xdr:cNvSpPr txBox="1"/>
      </xdr:nvSpPr>
      <xdr:spPr>
        <a:xfrm>
          <a:off x="133350" y="3686175"/>
          <a:ext cx="8143875" cy="752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NOTA DE ANÁLISIS : La facturación por sí sola no determina rentabilidad. Se recomienda analizar conjuntamente ventas, volumen y margen antes de tomar decisiones comerciales.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ás Sanchez" refreshedDate="46299.443356365744" createdVersion="8" refreshedVersion="8" minRefreshableVersion="3" recordCount="360" xr:uid="{0943570D-711D-404C-B0CD-5C1ADA5EF57B}">
  <cacheSource type="worksheet">
    <worksheetSource name="Tbl_Datos"/>
  </cacheSource>
  <cacheFields count="15">
    <cacheField name="ID Venta" numFmtId="0">
      <sharedItems/>
    </cacheField>
    <cacheField name="Fecha" numFmtId="14">
      <sharedItems containsSemiMixedTypes="0" containsNonDate="0" containsDate="1" containsString="0" minDate="2026-01-02T00:00:00" maxDate="2026-09-01T00:00:00"/>
    </cacheField>
    <cacheField name="Mes" numFmtId="0">
      <sharedItems count="8">
        <s v="Febrero"/>
        <s v="Agosto"/>
        <s v="Mayo"/>
        <s v="Marzo"/>
        <s v="Enero"/>
        <s v="Junio"/>
        <s v="Abril"/>
        <s v="Julio"/>
      </sharedItems>
    </cacheField>
    <cacheField name="Vendedor" numFmtId="0">
      <sharedItems count="6">
        <s v="Agustín"/>
        <s v="Lucía"/>
        <s v="Hernán"/>
        <s v="Demian"/>
        <s v="Carolina"/>
        <s v="Germán"/>
      </sharedItems>
    </cacheField>
    <cacheField name="Región" numFmtId="0">
      <sharedItems count="5">
        <s v="AMBA"/>
        <s v="Centro"/>
        <s v="Norte"/>
        <s v="Cuyo"/>
        <s v="Sur"/>
      </sharedItems>
    </cacheField>
    <cacheField name="Categoría" numFmtId="0">
      <sharedItems count="5">
        <s v="Comederos"/>
        <s v="Camas"/>
        <s v="Juguetes"/>
        <s v="Transporte"/>
        <s v="Higiene"/>
      </sharedItems>
    </cacheField>
    <cacheField name="Producto" numFmtId="0">
      <sharedItems/>
    </cacheField>
    <cacheField name="Canal" numFmtId="0">
      <sharedItems/>
    </cacheField>
    <cacheField name="Unidades" numFmtId="0">
      <sharedItems containsSemiMixedTypes="0" containsString="0" containsNumber="1" containsInteger="1" minValue="4" maxValue="83"/>
    </cacheField>
    <cacheField name="Precio Unitario" numFmtId="164">
      <sharedItems containsSemiMixedTypes="0" containsString="0" containsNumber="1" containsInteger="1" minValue="2800" maxValue="51300"/>
    </cacheField>
    <cacheField name="Venta Total" numFmtId="164">
      <sharedItems containsSemiMixedTypes="0" containsString="0" containsNumber="1" containsInteger="1" minValue="15000" maxValue="3074400"/>
    </cacheField>
    <cacheField name="Costo Unitario" numFmtId="164">
      <sharedItems containsSemiMixedTypes="0" containsString="0" containsNumber="1" minValue="1736" maxValue="36936"/>
    </cacheField>
    <cacheField name="Costo Total" numFmtId="164">
      <sharedItems containsSemiMixedTypes="0" containsString="0" containsNumber="1" minValue="9300" maxValue="2213568"/>
    </cacheField>
    <cacheField name="Margen $" numFmtId="164">
      <sharedItems containsSemiMixedTypes="0" containsString="0" containsNumber="1" minValue="5700" maxValue="860832"/>
    </cacheField>
    <cacheField name="Margen %" numFmtId="10">
      <sharedItems containsSemiMixedTypes="0" containsString="0" containsNumber="1" minValue="0.28000000000000003" maxValue="0.45"/>
    </cacheField>
  </cacheFields>
  <extLst>
    <ext xmlns:x14="http://schemas.microsoft.com/office/spreadsheetml/2009/9/main" uri="{725AE2AE-9491-48be-B2B4-4EB974FC3084}">
      <x14:pivotCacheDefinition pivotCacheId="102630250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">
  <r>
    <s v="V-0001"/>
    <d v="2026-02-10T00:00:00"/>
    <x v="0"/>
    <x v="0"/>
    <x v="0"/>
    <x v="0"/>
    <s v="Comedero Doble"/>
    <s v="Retail"/>
    <n v="34"/>
    <n v="6600"/>
    <n v="224400"/>
    <n v="3960"/>
    <n v="134640"/>
    <n v="89760"/>
    <n v="0.4"/>
  </r>
  <r>
    <s v="V-0002"/>
    <d v="2026-08-29T00:00:00"/>
    <x v="1"/>
    <x v="1"/>
    <x v="1"/>
    <x v="1"/>
    <s v="Cama Rectangular M"/>
    <s v="Retail"/>
    <n v="10"/>
    <n v="20800"/>
    <n v="208000"/>
    <n v="14144.000000000002"/>
    <n v="141440.00000000003"/>
    <n v="66559.999999999971"/>
    <n v="0.31999999999999984"/>
  </r>
  <r>
    <s v="V-0003"/>
    <d v="2026-05-23T00:00:00"/>
    <x v="2"/>
    <x v="2"/>
    <x v="2"/>
    <x v="2"/>
    <s v="Pelota Goma"/>
    <s v="Distribuidor"/>
    <n v="53"/>
    <n v="3100"/>
    <n v="164300"/>
    <n v="1922"/>
    <n v="101866"/>
    <n v="62434"/>
    <n v="0.38"/>
  </r>
  <r>
    <s v="V-0004"/>
    <d v="2026-02-14T00:00:00"/>
    <x v="0"/>
    <x v="3"/>
    <x v="0"/>
    <x v="3"/>
    <s v="Transportadora L"/>
    <s v="Mayorista"/>
    <n v="52"/>
    <n v="48300"/>
    <n v="2511600"/>
    <n v="34776"/>
    <n v="1808352"/>
    <n v="703248"/>
    <n v="0.28000000000000003"/>
  </r>
  <r>
    <s v="V-0005"/>
    <d v="2026-03-01T00:00:00"/>
    <x v="3"/>
    <x v="4"/>
    <x v="0"/>
    <x v="1"/>
    <s v="Cama Rectangular S"/>
    <s v="Distribuidor"/>
    <n v="54"/>
    <n v="15600"/>
    <n v="842400"/>
    <n v="10608"/>
    <n v="572832"/>
    <n v="269568"/>
    <n v="0.32"/>
  </r>
  <r>
    <s v="V-0006"/>
    <d v="2026-02-26T00:00:00"/>
    <x v="0"/>
    <x v="0"/>
    <x v="0"/>
    <x v="1"/>
    <s v="Cama Rectangular L"/>
    <s v="Retail"/>
    <n v="20"/>
    <n v="27700"/>
    <n v="554000"/>
    <n v="18836"/>
    <n v="376720"/>
    <n v="177280"/>
    <n v="0.32"/>
  </r>
  <r>
    <s v="V-0007"/>
    <d v="2026-01-10T00:00:00"/>
    <x v="4"/>
    <x v="5"/>
    <x v="1"/>
    <x v="0"/>
    <s v="Comedero Simple"/>
    <s v="Distribuidor"/>
    <n v="35"/>
    <n v="3900"/>
    <n v="136500"/>
    <n v="2340"/>
    <n v="81900"/>
    <n v="54600"/>
    <n v="0.4"/>
  </r>
  <r>
    <s v="V-0008"/>
    <d v="2026-01-03T00:00:00"/>
    <x v="4"/>
    <x v="3"/>
    <x v="3"/>
    <x v="3"/>
    <s v="Transportadora L"/>
    <s v="Mayorista"/>
    <n v="19"/>
    <n v="50700"/>
    <n v="963300"/>
    <n v="36504"/>
    <n v="693576"/>
    <n v="269724"/>
    <n v="0.28000000000000003"/>
  </r>
  <r>
    <s v="V-0009"/>
    <d v="2026-05-14T00:00:00"/>
    <x v="2"/>
    <x v="2"/>
    <x v="1"/>
    <x v="0"/>
    <s v="Comedero Antideslizante"/>
    <s v="Distribuidor"/>
    <n v="51"/>
    <n v="8100"/>
    <n v="413100"/>
    <n v="4860"/>
    <n v="247860"/>
    <n v="165240"/>
    <n v="0.4"/>
  </r>
  <r>
    <s v="V-0010"/>
    <d v="2026-05-17T00:00:00"/>
    <x v="2"/>
    <x v="3"/>
    <x v="3"/>
    <x v="3"/>
    <s v="Transportadora S"/>
    <s v="Retail"/>
    <n v="33"/>
    <n v="30400"/>
    <n v="1003200"/>
    <n v="21888"/>
    <n v="722304"/>
    <n v="280896"/>
    <n v="0.28000000000000003"/>
  </r>
  <r>
    <s v="V-0011"/>
    <d v="2026-01-09T00:00:00"/>
    <x v="4"/>
    <x v="5"/>
    <x v="1"/>
    <x v="4"/>
    <s v="Bandeja Sanitaria"/>
    <s v="Mayorista"/>
    <n v="45"/>
    <n v="14000"/>
    <n v="630000"/>
    <n v="7700.0000000000009"/>
    <n v="346500.00000000006"/>
    <n v="283499.99999999994"/>
    <n v="0.4499999999999999"/>
  </r>
  <r>
    <s v="V-0012"/>
    <d v="2026-06-02T00:00:00"/>
    <x v="5"/>
    <x v="1"/>
    <x v="1"/>
    <x v="1"/>
    <s v="Cama Rectangular L"/>
    <s v="Distribuidor"/>
    <n v="37"/>
    <n v="27200"/>
    <n v="1006400"/>
    <n v="18496"/>
    <n v="684352"/>
    <n v="322048"/>
    <n v="0.32"/>
  </r>
  <r>
    <s v="V-0013"/>
    <d v="2026-04-17T00:00:00"/>
    <x v="6"/>
    <x v="3"/>
    <x v="2"/>
    <x v="1"/>
    <s v="Cama Rectangular L"/>
    <s v="Distribuidor"/>
    <n v="7"/>
    <n v="25600"/>
    <n v="179200"/>
    <n v="17408"/>
    <n v="121856"/>
    <n v="57344"/>
    <n v="0.32"/>
  </r>
  <r>
    <s v="V-0014"/>
    <d v="2026-05-23T00:00:00"/>
    <x v="2"/>
    <x v="0"/>
    <x v="3"/>
    <x v="4"/>
    <s v="Pala Sanitaria"/>
    <s v="Distribuidor"/>
    <n v="38"/>
    <n v="3600"/>
    <n v="136800"/>
    <n v="1980.0000000000002"/>
    <n v="75240.000000000015"/>
    <n v="61559.999999999985"/>
    <n v="0.4499999999999999"/>
  </r>
  <r>
    <s v="V-0015"/>
    <d v="2026-05-16T00:00:00"/>
    <x v="2"/>
    <x v="3"/>
    <x v="3"/>
    <x v="4"/>
    <s v="Bandeja Sanitaria"/>
    <s v="Retail"/>
    <n v="5"/>
    <n v="13800"/>
    <n v="69000"/>
    <n v="7590.0000000000009"/>
    <n v="37950.000000000007"/>
    <n v="31049.999999999993"/>
    <n v="0.4499999999999999"/>
  </r>
  <r>
    <s v="V-0016"/>
    <d v="2026-07-08T00:00:00"/>
    <x v="7"/>
    <x v="5"/>
    <x v="4"/>
    <x v="1"/>
    <s v="Cama Rectangular L"/>
    <s v="Distribuidor"/>
    <n v="50"/>
    <n v="28100"/>
    <n v="1405000"/>
    <n v="19108"/>
    <n v="955400"/>
    <n v="449600"/>
    <n v="0.32"/>
  </r>
  <r>
    <s v="V-0017"/>
    <d v="2026-03-30T00:00:00"/>
    <x v="3"/>
    <x v="0"/>
    <x v="3"/>
    <x v="3"/>
    <s v="Transportadora M"/>
    <s v="Distribuidor"/>
    <n v="53"/>
    <n v="35300"/>
    <n v="1870900"/>
    <n v="25416"/>
    <n v="1347048"/>
    <n v="523852"/>
    <n v="0.28000000000000003"/>
  </r>
  <r>
    <s v="V-0018"/>
    <d v="2026-02-13T00:00:00"/>
    <x v="0"/>
    <x v="1"/>
    <x v="4"/>
    <x v="3"/>
    <s v="Transportadora S"/>
    <s v="Retail"/>
    <n v="46"/>
    <n v="30400"/>
    <n v="1398400"/>
    <n v="21888"/>
    <n v="1006848"/>
    <n v="391552"/>
    <n v="0.28000000000000003"/>
  </r>
  <r>
    <s v="V-0019"/>
    <d v="2026-03-28T00:00:00"/>
    <x v="3"/>
    <x v="1"/>
    <x v="2"/>
    <x v="2"/>
    <s v="Soga Nudos"/>
    <s v="Mayorista"/>
    <n v="43"/>
    <n v="4400"/>
    <n v="189200"/>
    <n v="2728"/>
    <n v="117304"/>
    <n v="71896"/>
    <n v="0.38"/>
  </r>
  <r>
    <s v="V-0020"/>
    <d v="2026-07-28T00:00:00"/>
    <x v="7"/>
    <x v="2"/>
    <x v="2"/>
    <x v="0"/>
    <s v="Comedero Antideslizante"/>
    <s v="Distribuidor"/>
    <n v="7"/>
    <n v="7700"/>
    <n v="53900"/>
    <n v="4620"/>
    <n v="32340"/>
    <n v="21560"/>
    <n v="0.4"/>
  </r>
  <r>
    <s v="V-0021"/>
    <d v="2026-04-09T00:00:00"/>
    <x v="6"/>
    <x v="3"/>
    <x v="1"/>
    <x v="3"/>
    <s v="Transportadora L"/>
    <s v="Mayorista"/>
    <n v="25"/>
    <n v="47800"/>
    <n v="1195000"/>
    <n v="34416"/>
    <n v="860400"/>
    <n v="334600"/>
    <n v="0.28000000000000003"/>
  </r>
  <r>
    <s v="V-0022"/>
    <d v="2026-04-22T00:00:00"/>
    <x v="6"/>
    <x v="1"/>
    <x v="0"/>
    <x v="1"/>
    <s v="Cama Rectangular L"/>
    <s v="Retail"/>
    <n v="44"/>
    <n v="27400"/>
    <n v="1205600"/>
    <n v="18632"/>
    <n v="819808"/>
    <n v="385792"/>
    <n v="0.32"/>
  </r>
  <r>
    <s v="V-0023"/>
    <d v="2026-04-09T00:00:00"/>
    <x v="6"/>
    <x v="5"/>
    <x v="3"/>
    <x v="1"/>
    <s v="Cama Rectangular M"/>
    <s v="Distribuidor"/>
    <n v="23"/>
    <n v="19600"/>
    <n v="450800"/>
    <n v="13328.000000000002"/>
    <n v="306544.00000000006"/>
    <n v="144255.99999999994"/>
    <n v="0.3199999999999999"/>
  </r>
  <r>
    <s v="V-0024"/>
    <d v="2026-03-19T00:00:00"/>
    <x v="3"/>
    <x v="4"/>
    <x v="4"/>
    <x v="3"/>
    <s v="Transportadora S"/>
    <s v="Distribuidor"/>
    <n v="34"/>
    <n v="28700"/>
    <n v="975800"/>
    <n v="20664"/>
    <n v="702576"/>
    <n v="273224"/>
    <n v="0.28000000000000003"/>
  </r>
  <r>
    <s v="V-0025"/>
    <d v="2026-02-07T00:00:00"/>
    <x v="0"/>
    <x v="2"/>
    <x v="4"/>
    <x v="4"/>
    <s v="Rodillo Quitapelos"/>
    <s v="Mayorista"/>
    <n v="83"/>
    <n v="6400"/>
    <n v="531200"/>
    <n v="3520.0000000000005"/>
    <n v="292160.00000000006"/>
    <n v="239039.99999999994"/>
    <n v="0.4499999999999999"/>
  </r>
  <r>
    <s v="V-0026"/>
    <d v="2026-06-09T00:00:00"/>
    <x v="5"/>
    <x v="2"/>
    <x v="0"/>
    <x v="0"/>
    <s v="Comedero Antideslizante"/>
    <s v="Mayorista"/>
    <n v="68"/>
    <n v="8100"/>
    <n v="550800"/>
    <n v="4860"/>
    <n v="330480"/>
    <n v="220320"/>
    <n v="0.4"/>
  </r>
  <r>
    <s v="V-0027"/>
    <d v="2026-04-09T00:00:00"/>
    <x v="6"/>
    <x v="1"/>
    <x v="0"/>
    <x v="2"/>
    <s v="Mordillo Dental"/>
    <s v="Distribuidor"/>
    <n v="27"/>
    <n v="5400"/>
    <n v="145800"/>
    <n v="3348"/>
    <n v="90396"/>
    <n v="55404"/>
    <n v="0.38"/>
  </r>
  <r>
    <s v="V-0028"/>
    <d v="2026-04-08T00:00:00"/>
    <x v="6"/>
    <x v="1"/>
    <x v="0"/>
    <x v="4"/>
    <s v="Pala Sanitaria"/>
    <s v="Retail"/>
    <n v="55"/>
    <n v="3300"/>
    <n v="181500"/>
    <n v="1815.0000000000002"/>
    <n v="99825.000000000015"/>
    <n v="81674.999999999985"/>
    <n v="0.4499999999999999"/>
  </r>
  <r>
    <s v="V-0029"/>
    <d v="2026-04-27T00:00:00"/>
    <x v="6"/>
    <x v="1"/>
    <x v="0"/>
    <x v="0"/>
    <s v="Bebedero Automático"/>
    <s v="Retail"/>
    <n v="47"/>
    <n v="16100"/>
    <n v="756700"/>
    <n v="9660"/>
    <n v="454020"/>
    <n v="302680"/>
    <n v="0.4"/>
  </r>
  <r>
    <s v="V-0030"/>
    <d v="2026-03-10T00:00:00"/>
    <x v="3"/>
    <x v="2"/>
    <x v="0"/>
    <x v="2"/>
    <s v="Pelota Goma"/>
    <s v="Retail"/>
    <n v="13"/>
    <n v="3000"/>
    <n v="39000"/>
    <n v="1860"/>
    <n v="24180"/>
    <n v="14820"/>
    <n v="0.38"/>
  </r>
  <r>
    <s v="V-0031"/>
    <d v="2026-06-21T00:00:00"/>
    <x v="5"/>
    <x v="3"/>
    <x v="4"/>
    <x v="2"/>
    <s v="Juguete Interactivo"/>
    <s v="Retail"/>
    <n v="4"/>
    <n v="9500"/>
    <n v="38000"/>
    <n v="5890"/>
    <n v="23560"/>
    <n v="14440"/>
    <n v="0.38"/>
  </r>
  <r>
    <s v="V-0032"/>
    <d v="2026-06-05T00:00:00"/>
    <x v="5"/>
    <x v="3"/>
    <x v="3"/>
    <x v="1"/>
    <s v="Cama Rectangular M"/>
    <s v="Mayorista"/>
    <n v="32"/>
    <n v="20800"/>
    <n v="665600"/>
    <n v="14144.000000000002"/>
    <n v="452608.00000000006"/>
    <n v="212991.99999999994"/>
    <n v="0.3199999999999999"/>
  </r>
  <r>
    <s v="V-0033"/>
    <d v="2026-01-20T00:00:00"/>
    <x v="4"/>
    <x v="5"/>
    <x v="2"/>
    <x v="0"/>
    <s v="Comedero Simple"/>
    <s v="Distribuidor"/>
    <n v="53"/>
    <n v="3700"/>
    <n v="196100"/>
    <n v="2220"/>
    <n v="117660"/>
    <n v="78440"/>
    <n v="0.4"/>
  </r>
  <r>
    <s v="V-0034"/>
    <d v="2026-05-28T00:00:00"/>
    <x v="2"/>
    <x v="5"/>
    <x v="2"/>
    <x v="3"/>
    <s v="Transportadora M"/>
    <s v="Mayorista"/>
    <n v="39"/>
    <n v="37200"/>
    <n v="1450800"/>
    <n v="26784"/>
    <n v="1044576"/>
    <n v="406224"/>
    <n v="0.28000000000000003"/>
  </r>
  <r>
    <s v="V-0035"/>
    <d v="2026-01-11T00:00:00"/>
    <x v="4"/>
    <x v="1"/>
    <x v="4"/>
    <x v="4"/>
    <s v="Rodillo Quitapelos"/>
    <s v="Retail"/>
    <n v="55"/>
    <n v="5800"/>
    <n v="319000"/>
    <n v="3190.0000000000005"/>
    <n v="175450.00000000003"/>
    <n v="143549.99999999997"/>
    <n v="0.4499999999999999"/>
  </r>
  <r>
    <s v="V-0036"/>
    <d v="2026-07-24T00:00:00"/>
    <x v="7"/>
    <x v="4"/>
    <x v="0"/>
    <x v="1"/>
    <s v="Cama Rectangular S"/>
    <s v="Retail"/>
    <n v="9"/>
    <n v="14300"/>
    <n v="128700"/>
    <n v="9724"/>
    <n v="87516"/>
    <n v="41184"/>
    <n v="0.32"/>
  </r>
  <r>
    <s v="V-0037"/>
    <d v="2026-06-30T00:00:00"/>
    <x v="5"/>
    <x v="5"/>
    <x v="1"/>
    <x v="0"/>
    <s v="Comedero Antideslizante"/>
    <s v="Distribuidor"/>
    <n v="50"/>
    <n v="8200"/>
    <n v="410000"/>
    <n v="4920"/>
    <n v="246000"/>
    <n v="164000"/>
    <n v="0.4"/>
  </r>
  <r>
    <s v="V-0038"/>
    <d v="2026-05-11T00:00:00"/>
    <x v="2"/>
    <x v="2"/>
    <x v="0"/>
    <x v="0"/>
    <s v="Comedero Simple"/>
    <s v="Retail"/>
    <n v="37"/>
    <n v="3900"/>
    <n v="144300"/>
    <n v="2340"/>
    <n v="86580"/>
    <n v="57720"/>
    <n v="0.4"/>
  </r>
  <r>
    <s v="V-0039"/>
    <d v="2026-07-12T00:00:00"/>
    <x v="7"/>
    <x v="2"/>
    <x v="3"/>
    <x v="4"/>
    <s v="Rodillo Quitapelos"/>
    <s v="Distribuidor"/>
    <n v="13"/>
    <n v="5700"/>
    <n v="74100"/>
    <n v="3135.0000000000005"/>
    <n v="40755.000000000007"/>
    <n v="33344.999999999993"/>
    <n v="0.4499999999999999"/>
  </r>
  <r>
    <s v="V-0040"/>
    <d v="2026-08-02T00:00:00"/>
    <x v="1"/>
    <x v="2"/>
    <x v="0"/>
    <x v="3"/>
    <s v="Transportadora L"/>
    <s v="Retail"/>
    <n v="34"/>
    <n v="49300"/>
    <n v="1676200"/>
    <n v="35496"/>
    <n v="1206864"/>
    <n v="469336"/>
    <n v="0.28000000000000003"/>
  </r>
  <r>
    <s v="V-0041"/>
    <d v="2026-01-25T00:00:00"/>
    <x v="4"/>
    <x v="2"/>
    <x v="4"/>
    <x v="0"/>
    <s v="Comedero Antideslizante"/>
    <s v="Mayorista"/>
    <n v="77"/>
    <n v="8400"/>
    <n v="646800"/>
    <n v="5040"/>
    <n v="388080"/>
    <n v="258720"/>
    <n v="0.4"/>
  </r>
  <r>
    <s v="V-0042"/>
    <d v="2026-04-16T00:00:00"/>
    <x v="6"/>
    <x v="2"/>
    <x v="0"/>
    <x v="1"/>
    <s v="Cama Rectangular S"/>
    <s v="Distribuidor"/>
    <n v="50"/>
    <n v="14300"/>
    <n v="715000"/>
    <n v="9724"/>
    <n v="486200"/>
    <n v="228800"/>
    <n v="0.32"/>
  </r>
  <r>
    <s v="V-0043"/>
    <d v="2026-01-17T00:00:00"/>
    <x v="4"/>
    <x v="3"/>
    <x v="4"/>
    <x v="2"/>
    <s v="Juguete Interactivo"/>
    <s v="Retail"/>
    <n v="45"/>
    <n v="10400"/>
    <n v="468000"/>
    <n v="6448"/>
    <n v="290160"/>
    <n v="177840"/>
    <n v="0.38"/>
  </r>
  <r>
    <s v="V-0044"/>
    <d v="2026-02-12T00:00:00"/>
    <x v="0"/>
    <x v="4"/>
    <x v="0"/>
    <x v="0"/>
    <s v="Comedero Antideslizante"/>
    <s v="Distribuidor"/>
    <n v="24"/>
    <n v="7600"/>
    <n v="182400"/>
    <n v="4560"/>
    <n v="109440"/>
    <n v="72960"/>
    <n v="0.4"/>
  </r>
  <r>
    <s v="V-0045"/>
    <d v="2026-08-22T00:00:00"/>
    <x v="1"/>
    <x v="0"/>
    <x v="0"/>
    <x v="4"/>
    <s v="Pala Sanitaria"/>
    <s v="Retail"/>
    <n v="38"/>
    <n v="3400"/>
    <n v="129200"/>
    <n v="1870.0000000000002"/>
    <n v="71060.000000000015"/>
    <n v="58139.999999999985"/>
    <n v="0.4499999999999999"/>
  </r>
  <r>
    <s v="V-0046"/>
    <d v="2026-07-04T00:00:00"/>
    <x v="7"/>
    <x v="2"/>
    <x v="0"/>
    <x v="3"/>
    <s v="Transportadora M"/>
    <s v="Distribuidor"/>
    <n v="43"/>
    <n v="38200"/>
    <n v="1642600"/>
    <n v="27504"/>
    <n v="1182672"/>
    <n v="459928"/>
    <n v="0.28000000000000003"/>
  </r>
  <r>
    <s v="V-0047"/>
    <d v="2026-04-28T00:00:00"/>
    <x v="6"/>
    <x v="0"/>
    <x v="3"/>
    <x v="3"/>
    <s v="Transportadora S"/>
    <s v="Mayorista"/>
    <n v="65"/>
    <n v="30000"/>
    <n v="1950000"/>
    <n v="21600"/>
    <n v="1404000"/>
    <n v="546000"/>
    <n v="0.28000000000000003"/>
  </r>
  <r>
    <s v="V-0048"/>
    <d v="2026-05-16T00:00:00"/>
    <x v="2"/>
    <x v="1"/>
    <x v="0"/>
    <x v="4"/>
    <s v="Pala Sanitaria"/>
    <s v="Distribuidor"/>
    <n v="51"/>
    <n v="3300"/>
    <n v="168300"/>
    <n v="1815.0000000000002"/>
    <n v="92565.000000000015"/>
    <n v="75734.999999999985"/>
    <n v="0.4499999999999999"/>
  </r>
  <r>
    <s v="V-0049"/>
    <d v="2026-02-23T00:00:00"/>
    <x v="0"/>
    <x v="1"/>
    <x v="2"/>
    <x v="1"/>
    <s v="Cama Rectangular M"/>
    <s v="Retail"/>
    <n v="31"/>
    <n v="18900"/>
    <n v="585900"/>
    <n v="12852.000000000002"/>
    <n v="398412.00000000006"/>
    <n v="187487.99999999994"/>
    <n v="0.3199999999999999"/>
  </r>
  <r>
    <s v="V-0050"/>
    <d v="2026-02-04T00:00:00"/>
    <x v="0"/>
    <x v="4"/>
    <x v="4"/>
    <x v="1"/>
    <s v="Cama Rectangular L"/>
    <s v="Distribuidor"/>
    <n v="26"/>
    <n v="26700"/>
    <n v="694200"/>
    <n v="18156"/>
    <n v="472056"/>
    <n v="222144"/>
    <n v="0.32"/>
  </r>
  <r>
    <s v="V-0051"/>
    <d v="2026-08-29T00:00:00"/>
    <x v="1"/>
    <x v="0"/>
    <x v="4"/>
    <x v="4"/>
    <s v="Pala Sanitaria"/>
    <s v="Distribuidor"/>
    <n v="33"/>
    <n v="3500"/>
    <n v="115500"/>
    <n v="1925.0000000000002"/>
    <n v="63525.000000000007"/>
    <n v="51974.999999999993"/>
    <n v="0.44999999999999996"/>
  </r>
  <r>
    <s v="V-0052"/>
    <d v="2026-06-05T00:00:00"/>
    <x v="5"/>
    <x v="4"/>
    <x v="2"/>
    <x v="3"/>
    <s v="Transportadora M"/>
    <s v="Distribuidor"/>
    <n v="9"/>
    <n v="36000"/>
    <n v="324000"/>
    <n v="25920"/>
    <n v="233280"/>
    <n v="90720"/>
    <n v="0.28000000000000003"/>
  </r>
  <r>
    <s v="V-0053"/>
    <d v="2026-03-22T00:00:00"/>
    <x v="3"/>
    <x v="4"/>
    <x v="3"/>
    <x v="2"/>
    <s v="Soga Nudos"/>
    <s v="Distribuidor"/>
    <n v="8"/>
    <n v="4300"/>
    <n v="34400"/>
    <n v="2666"/>
    <n v="21328"/>
    <n v="13072"/>
    <n v="0.38"/>
  </r>
  <r>
    <s v="V-0054"/>
    <d v="2026-05-11T00:00:00"/>
    <x v="2"/>
    <x v="2"/>
    <x v="4"/>
    <x v="3"/>
    <s v="Transportadora M"/>
    <s v="Distribuidor"/>
    <n v="35"/>
    <n v="36900"/>
    <n v="1291500"/>
    <n v="26568"/>
    <n v="929880"/>
    <n v="361620"/>
    <n v="0.28000000000000003"/>
  </r>
  <r>
    <s v="V-0055"/>
    <d v="2026-01-08T00:00:00"/>
    <x v="4"/>
    <x v="1"/>
    <x v="4"/>
    <x v="2"/>
    <s v="Juguete Interactivo"/>
    <s v="Distribuidor"/>
    <n v="20"/>
    <n v="10400"/>
    <n v="208000"/>
    <n v="6448"/>
    <n v="128960"/>
    <n v="79040"/>
    <n v="0.38"/>
  </r>
  <r>
    <s v="V-0056"/>
    <d v="2026-02-04T00:00:00"/>
    <x v="0"/>
    <x v="4"/>
    <x v="4"/>
    <x v="1"/>
    <s v="Cama Rectangular L"/>
    <s v="Mayorista"/>
    <n v="38"/>
    <n v="25700"/>
    <n v="976600"/>
    <n v="17476"/>
    <n v="664088"/>
    <n v="312512"/>
    <n v="0.32"/>
  </r>
  <r>
    <s v="V-0057"/>
    <d v="2026-08-27T00:00:00"/>
    <x v="1"/>
    <x v="0"/>
    <x v="0"/>
    <x v="4"/>
    <s v="Pala Sanitaria"/>
    <s v="Distribuidor"/>
    <n v="39"/>
    <n v="3300"/>
    <n v="128700"/>
    <n v="1815.0000000000002"/>
    <n v="70785.000000000015"/>
    <n v="57914.999999999985"/>
    <n v="0.4499999999999999"/>
  </r>
  <r>
    <s v="V-0058"/>
    <d v="2026-03-15T00:00:00"/>
    <x v="3"/>
    <x v="3"/>
    <x v="0"/>
    <x v="4"/>
    <s v="Rodillo Quitapelos"/>
    <s v="Distribuidor"/>
    <n v="28"/>
    <n v="6200"/>
    <n v="173600"/>
    <n v="3410.0000000000005"/>
    <n v="95480.000000000015"/>
    <n v="78119.999999999985"/>
    <n v="0.4499999999999999"/>
  </r>
  <r>
    <s v="V-0059"/>
    <d v="2026-05-07T00:00:00"/>
    <x v="2"/>
    <x v="3"/>
    <x v="1"/>
    <x v="2"/>
    <s v="Pelota Goma"/>
    <s v="Distribuidor"/>
    <n v="5"/>
    <n v="3000"/>
    <n v="15000"/>
    <n v="1860"/>
    <n v="9300"/>
    <n v="5700"/>
    <n v="0.38"/>
  </r>
  <r>
    <s v="V-0060"/>
    <d v="2026-04-30T00:00:00"/>
    <x v="6"/>
    <x v="1"/>
    <x v="2"/>
    <x v="4"/>
    <s v="Pala Sanitaria"/>
    <s v="Distribuidor"/>
    <n v="12"/>
    <n v="3600"/>
    <n v="43200"/>
    <n v="1980.0000000000002"/>
    <n v="23760.000000000004"/>
    <n v="19439.999999999996"/>
    <n v="0.4499999999999999"/>
  </r>
  <r>
    <s v="V-0061"/>
    <d v="2026-02-04T00:00:00"/>
    <x v="0"/>
    <x v="1"/>
    <x v="2"/>
    <x v="3"/>
    <s v="Transportadora M"/>
    <s v="Distribuidor"/>
    <n v="28"/>
    <n v="37000"/>
    <n v="1036000"/>
    <n v="26640"/>
    <n v="745920"/>
    <n v="290080"/>
    <n v="0.28000000000000003"/>
  </r>
  <r>
    <s v="V-0062"/>
    <d v="2026-02-05T00:00:00"/>
    <x v="0"/>
    <x v="0"/>
    <x v="3"/>
    <x v="1"/>
    <s v="Cama Rectangular M"/>
    <s v="Distribuidor"/>
    <n v="5"/>
    <n v="19100"/>
    <n v="95500"/>
    <n v="12988.000000000002"/>
    <n v="64940.000000000007"/>
    <n v="30559.999999999993"/>
    <n v="0.31999999999999995"/>
  </r>
  <r>
    <s v="V-0063"/>
    <d v="2026-06-10T00:00:00"/>
    <x v="5"/>
    <x v="4"/>
    <x v="4"/>
    <x v="3"/>
    <s v="Transportadora S"/>
    <s v="Mayorista"/>
    <n v="50"/>
    <n v="28000"/>
    <n v="1400000"/>
    <n v="20160"/>
    <n v="1008000"/>
    <n v="392000"/>
    <n v="0.28000000000000003"/>
  </r>
  <r>
    <s v="V-0064"/>
    <d v="2026-06-04T00:00:00"/>
    <x v="5"/>
    <x v="3"/>
    <x v="0"/>
    <x v="3"/>
    <s v="Transportadora S"/>
    <s v="Retail"/>
    <n v="43"/>
    <n v="28800"/>
    <n v="1238400"/>
    <n v="20736"/>
    <n v="891648"/>
    <n v="346752"/>
    <n v="0.28000000000000003"/>
  </r>
  <r>
    <s v="V-0065"/>
    <d v="2026-08-20T00:00:00"/>
    <x v="1"/>
    <x v="5"/>
    <x v="0"/>
    <x v="2"/>
    <s v="Mordillo Dental"/>
    <s v="Distribuidor"/>
    <n v="31"/>
    <n v="5300"/>
    <n v="164300"/>
    <n v="3286"/>
    <n v="101866"/>
    <n v="62434"/>
    <n v="0.38"/>
  </r>
  <r>
    <s v="V-0066"/>
    <d v="2026-02-15T00:00:00"/>
    <x v="0"/>
    <x v="4"/>
    <x v="4"/>
    <x v="3"/>
    <s v="Transportadora M"/>
    <s v="Distribuidor"/>
    <n v="11"/>
    <n v="38800"/>
    <n v="426800"/>
    <n v="27936"/>
    <n v="307296"/>
    <n v="119504"/>
    <n v="0.28000000000000003"/>
  </r>
  <r>
    <s v="V-0067"/>
    <d v="2026-05-10T00:00:00"/>
    <x v="2"/>
    <x v="1"/>
    <x v="0"/>
    <x v="2"/>
    <s v="Juguete Interactivo"/>
    <s v="Retail"/>
    <n v="40"/>
    <n v="9700"/>
    <n v="388000"/>
    <n v="6014"/>
    <n v="240560"/>
    <n v="147440"/>
    <n v="0.38"/>
  </r>
  <r>
    <s v="V-0068"/>
    <d v="2026-03-09T00:00:00"/>
    <x v="3"/>
    <x v="5"/>
    <x v="0"/>
    <x v="2"/>
    <s v="Mordillo Dental"/>
    <s v="Distribuidor"/>
    <n v="28"/>
    <n v="5100"/>
    <n v="142800"/>
    <n v="3162"/>
    <n v="88536"/>
    <n v="54264"/>
    <n v="0.38"/>
  </r>
  <r>
    <s v="V-0069"/>
    <d v="2026-06-03T00:00:00"/>
    <x v="5"/>
    <x v="1"/>
    <x v="0"/>
    <x v="2"/>
    <s v="Soga Nudos"/>
    <s v="Mayorista"/>
    <n v="47"/>
    <n v="4100"/>
    <n v="192700"/>
    <n v="2542"/>
    <n v="119474"/>
    <n v="73226"/>
    <n v="0.38"/>
  </r>
  <r>
    <s v="V-0070"/>
    <d v="2026-07-10T00:00:00"/>
    <x v="7"/>
    <x v="5"/>
    <x v="0"/>
    <x v="3"/>
    <s v="Transportadora L"/>
    <s v="Retail"/>
    <n v="31"/>
    <n v="50600"/>
    <n v="1568600"/>
    <n v="36432"/>
    <n v="1129392"/>
    <n v="439208"/>
    <n v="0.28000000000000003"/>
  </r>
  <r>
    <s v="V-0071"/>
    <d v="2026-06-09T00:00:00"/>
    <x v="5"/>
    <x v="3"/>
    <x v="3"/>
    <x v="0"/>
    <s v="Comedero Antideslizante"/>
    <s v="Distribuidor"/>
    <n v="38"/>
    <n v="8500"/>
    <n v="323000"/>
    <n v="5100"/>
    <n v="193800"/>
    <n v="129200"/>
    <n v="0.4"/>
  </r>
  <r>
    <s v="V-0072"/>
    <d v="2026-04-24T00:00:00"/>
    <x v="6"/>
    <x v="5"/>
    <x v="3"/>
    <x v="4"/>
    <s v="Bandeja Sanitaria"/>
    <s v="Retail"/>
    <n v="48"/>
    <n v="12900"/>
    <n v="619200"/>
    <n v="7095.0000000000009"/>
    <n v="340560.00000000006"/>
    <n v="278639.99999999994"/>
    <n v="0.4499999999999999"/>
  </r>
  <r>
    <s v="V-0073"/>
    <d v="2026-04-05T00:00:00"/>
    <x v="6"/>
    <x v="3"/>
    <x v="0"/>
    <x v="0"/>
    <s v="Comedero Antideslizante"/>
    <s v="Mayorista"/>
    <n v="33"/>
    <n v="7600"/>
    <n v="250800"/>
    <n v="4560"/>
    <n v="150480"/>
    <n v="100320"/>
    <n v="0.4"/>
  </r>
  <r>
    <s v="V-0074"/>
    <d v="2026-05-02T00:00:00"/>
    <x v="2"/>
    <x v="1"/>
    <x v="0"/>
    <x v="1"/>
    <s v="Cama Rectangular M"/>
    <s v="Distribuidor"/>
    <n v="10"/>
    <n v="20600"/>
    <n v="206000"/>
    <n v="14008.000000000002"/>
    <n v="140080.00000000003"/>
    <n v="65919.999999999971"/>
    <n v="0.31999999999999984"/>
  </r>
  <r>
    <s v="V-0075"/>
    <d v="2026-07-06T00:00:00"/>
    <x v="7"/>
    <x v="5"/>
    <x v="0"/>
    <x v="0"/>
    <s v="Comedero Antideslizante"/>
    <s v="Retail"/>
    <n v="8"/>
    <n v="7600"/>
    <n v="60800"/>
    <n v="4560"/>
    <n v="36480"/>
    <n v="24320"/>
    <n v="0.4"/>
  </r>
  <r>
    <s v="V-0076"/>
    <d v="2026-07-06T00:00:00"/>
    <x v="7"/>
    <x v="2"/>
    <x v="4"/>
    <x v="3"/>
    <s v="Transportadora M"/>
    <s v="Distribuidor"/>
    <n v="19"/>
    <n v="36400"/>
    <n v="691600"/>
    <n v="26208"/>
    <n v="497952"/>
    <n v="193648"/>
    <n v="0.28000000000000003"/>
  </r>
  <r>
    <s v="V-0077"/>
    <d v="2026-06-16T00:00:00"/>
    <x v="5"/>
    <x v="4"/>
    <x v="1"/>
    <x v="0"/>
    <s v="Bebedero Automático"/>
    <s v="Mayorista"/>
    <n v="31"/>
    <n v="15600"/>
    <n v="483600"/>
    <n v="9360"/>
    <n v="290160"/>
    <n v="193440"/>
    <n v="0.4"/>
  </r>
  <r>
    <s v="V-0078"/>
    <d v="2026-03-16T00:00:00"/>
    <x v="3"/>
    <x v="2"/>
    <x v="0"/>
    <x v="2"/>
    <s v="Juguete Interactivo"/>
    <s v="Mayorista"/>
    <n v="62"/>
    <n v="10200"/>
    <n v="632400"/>
    <n v="6324"/>
    <n v="392088"/>
    <n v="240312"/>
    <n v="0.38"/>
  </r>
  <r>
    <s v="V-0079"/>
    <d v="2026-04-14T00:00:00"/>
    <x v="6"/>
    <x v="0"/>
    <x v="1"/>
    <x v="2"/>
    <s v="Soga Nudos"/>
    <s v="Distribuidor"/>
    <n v="39"/>
    <n v="4300"/>
    <n v="167700"/>
    <n v="2666"/>
    <n v="103974"/>
    <n v="63726"/>
    <n v="0.38"/>
  </r>
  <r>
    <s v="V-0080"/>
    <d v="2026-03-03T00:00:00"/>
    <x v="3"/>
    <x v="0"/>
    <x v="2"/>
    <x v="0"/>
    <s v="Comedero Doble"/>
    <s v="Retail"/>
    <n v="38"/>
    <n v="6100"/>
    <n v="231800"/>
    <n v="3660"/>
    <n v="139080"/>
    <n v="92720"/>
    <n v="0.4"/>
  </r>
  <r>
    <s v="V-0081"/>
    <d v="2026-08-21T00:00:00"/>
    <x v="1"/>
    <x v="5"/>
    <x v="1"/>
    <x v="4"/>
    <s v="Cepillo Mascotas"/>
    <s v="Mayorista"/>
    <n v="65"/>
    <n v="7500"/>
    <n v="487500"/>
    <n v="4125"/>
    <n v="268125"/>
    <n v="219375"/>
    <n v="0.45"/>
  </r>
  <r>
    <s v="V-0082"/>
    <d v="2026-08-27T00:00:00"/>
    <x v="1"/>
    <x v="3"/>
    <x v="1"/>
    <x v="2"/>
    <s v="Juguete Interactivo"/>
    <s v="Retail"/>
    <n v="51"/>
    <n v="10000"/>
    <n v="510000"/>
    <n v="6200"/>
    <n v="316200"/>
    <n v="193800"/>
    <n v="0.38"/>
  </r>
  <r>
    <s v="V-0083"/>
    <d v="2026-07-19T00:00:00"/>
    <x v="7"/>
    <x v="1"/>
    <x v="0"/>
    <x v="1"/>
    <s v="Cama Rectangular S"/>
    <s v="Retail"/>
    <n v="41"/>
    <n v="14100"/>
    <n v="578100"/>
    <n v="9588"/>
    <n v="393108"/>
    <n v="184992"/>
    <n v="0.32"/>
  </r>
  <r>
    <s v="V-0084"/>
    <d v="2026-08-17T00:00:00"/>
    <x v="1"/>
    <x v="5"/>
    <x v="2"/>
    <x v="3"/>
    <s v="Transportadora S"/>
    <s v="Retail"/>
    <n v="44"/>
    <n v="30500"/>
    <n v="1342000"/>
    <n v="21960"/>
    <n v="966240"/>
    <n v="375760"/>
    <n v="0.28000000000000003"/>
  </r>
  <r>
    <s v="V-0085"/>
    <d v="2026-05-18T00:00:00"/>
    <x v="2"/>
    <x v="3"/>
    <x v="1"/>
    <x v="2"/>
    <s v="Mordillo Dental"/>
    <s v="Mayorista"/>
    <n v="44"/>
    <n v="5200"/>
    <n v="228800"/>
    <n v="3224"/>
    <n v="141856"/>
    <n v="86944"/>
    <n v="0.38"/>
  </r>
  <r>
    <s v="V-0086"/>
    <d v="2026-08-11T00:00:00"/>
    <x v="1"/>
    <x v="1"/>
    <x v="0"/>
    <x v="3"/>
    <s v="Transportadora L"/>
    <s v="Distribuidor"/>
    <n v="26"/>
    <n v="50800"/>
    <n v="1320800"/>
    <n v="36576"/>
    <n v="950976"/>
    <n v="369824"/>
    <n v="0.28000000000000003"/>
  </r>
  <r>
    <s v="V-0087"/>
    <d v="2026-03-23T00:00:00"/>
    <x v="3"/>
    <x v="1"/>
    <x v="4"/>
    <x v="1"/>
    <s v="Cama Rectangular S"/>
    <s v="Mayorista"/>
    <n v="37"/>
    <n v="14600"/>
    <n v="540200"/>
    <n v="9928"/>
    <n v="367336"/>
    <n v="172864"/>
    <n v="0.32"/>
  </r>
  <r>
    <s v="V-0088"/>
    <d v="2026-08-18T00:00:00"/>
    <x v="1"/>
    <x v="1"/>
    <x v="1"/>
    <x v="0"/>
    <s v="Comedero Doble"/>
    <s v="Retail"/>
    <n v="10"/>
    <n v="6300"/>
    <n v="63000"/>
    <n v="3780"/>
    <n v="37800"/>
    <n v="25200"/>
    <n v="0.4"/>
  </r>
  <r>
    <s v="V-0089"/>
    <d v="2026-07-01T00:00:00"/>
    <x v="7"/>
    <x v="1"/>
    <x v="1"/>
    <x v="2"/>
    <s v="Mordillo Dental"/>
    <s v="Distribuidor"/>
    <n v="21"/>
    <n v="5400"/>
    <n v="113400"/>
    <n v="3348"/>
    <n v="70308"/>
    <n v="43092"/>
    <n v="0.38"/>
  </r>
  <r>
    <s v="V-0090"/>
    <d v="2026-04-16T00:00:00"/>
    <x v="6"/>
    <x v="2"/>
    <x v="1"/>
    <x v="4"/>
    <s v="Pala Sanitaria"/>
    <s v="Distribuidor"/>
    <n v="49"/>
    <n v="3400"/>
    <n v="166600"/>
    <n v="1870.0000000000002"/>
    <n v="91630.000000000015"/>
    <n v="74969.999999999985"/>
    <n v="0.4499999999999999"/>
  </r>
  <r>
    <s v="V-0091"/>
    <d v="2026-03-12T00:00:00"/>
    <x v="3"/>
    <x v="0"/>
    <x v="4"/>
    <x v="0"/>
    <s v="Comedero Doble"/>
    <s v="Mayorista"/>
    <n v="55"/>
    <n v="6700"/>
    <n v="368500"/>
    <n v="4020"/>
    <n v="221100"/>
    <n v="147400"/>
    <n v="0.4"/>
  </r>
  <r>
    <s v="V-0092"/>
    <d v="2026-04-07T00:00:00"/>
    <x v="6"/>
    <x v="2"/>
    <x v="4"/>
    <x v="4"/>
    <s v="Cepillo Mascotas"/>
    <s v="Mayorista"/>
    <n v="45"/>
    <n v="7700"/>
    <n v="346500"/>
    <n v="4235"/>
    <n v="190575"/>
    <n v="155925"/>
    <n v="0.45"/>
  </r>
  <r>
    <s v="V-0093"/>
    <d v="2026-08-14T00:00:00"/>
    <x v="1"/>
    <x v="4"/>
    <x v="2"/>
    <x v="0"/>
    <s v="Bebedero Automático"/>
    <s v="Distribuidor"/>
    <n v="28"/>
    <n v="16300"/>
    <n v="456400"/>
    <n v="9780"/>
    <n v="273840"/>
    <n v="182560"/>
    <n v="0.4"/>
  </r>
  <r>
    <s v="V-0094"/>
    <d v="2026-07-24T00:00:00"/>
    <x v="7"/>
    <x v="3"/>
    <x v="1"/>
    <x v="2"/>
    <s v="Pelota Goma"/>
    <s v="Mayorista"/>
    <n v="32"/>
    <n v="3100"/>
    <n v="99200"/>
    <n v="1922"/>
    <n v="61504"/>
    <n v="37696"/>
    <n v="0.38"/>
  </r>
  <r>
    <s v="V-0095"/>
    <d v="2026-05-12T00:00:00"/>
    <x v="2"/>
    <x v="2"/>
    <x v="2"/>
    <x v="2"/>
    <s v="Pelota Goma"/>
    <s v="Distribuidor"/>
    <n v="29"/>
    <n v="3000"/>
    <n v="87000"/>
    <n v="1860"/>
    <n v="53940"/>
    <n v="33060"/>
    <n v="0.38"/>
  </r>
  <r>
    <s v="V-0096"/>
    <d v="2026-07-09T00:00:00"/>
    <x v="7"/>
    <x v="5"/>
    <x v="1"/>
    <x v="4"/>
    <s v="Cepillo Mascotas"/>
    <s v="Distribuidor"/>
    <n v="19"/>
    <n v="7400"/>
    <n v="140600"/>
    <n v="4070.0000000000005"/>
    <n v="77330.000000000015"/>
    <n v="63269.999999999985"/>
    <n v="0.4499999999999999"/>
  </r>
  <r>
    <s v="V-0097"/>
    <d v="2026-01-02T00:00:00"/>
    <x v="4"/>
    <x v="1"/>
    <x v="2"/>
    <x v="1"/>
    <s v="Cama Rectangular L"/>
    <s v="Retail"/>
    <n v="39"/>
    <n v="26500"/>
    <n v="1033500"/>
    <n v="18020"/>
    <n v="702780"/>
    <n v="330720"/>
    <n v="0.32"/>
  </r>
  <r>
    <s v="V-0098"/>
    <d v="2026-06-19T00:00:00"/>
    <x v="5"/>
    <x v="1"/>
    <x v="1"/>
    <x v="3"/>
    <s v="Transportadora L"/>
    <s v="Mayorista"/>
    <n v="63"/>
    <n v="48800"/>
    <n v="3074400"/>
    <n v="35136"/>
    <n v="2213568"/>
    <n v="860832"/>
    <n v="0.28000000000000003"/>
  </r>
  <r>
    <s v="V-0099"/>
    <d v="2026-01-16T00:00:00"/>
    <x v="4"/>
    <x v="3"/>
    <x v="4"/>
    <x v="1"/>
    <s v="Cama Cueva"/>
    <s v="Distribuidor"/>
    <n v="11"/>
    <n v="23400"/>
    <n v="257400"/>
    <n v="15912.000000000002"/>
    <n v="175032.00000000003"/>
    <n v="82367.999999999971"/>
    <n v="0.3199999999999999"/>
  </r>
  <r>
    <s v="V-0100"/>
    <d v="2026-01-26T00:00:00"/>
    <x v="4"/>
    <x v="0"/>
    <x v="0"/>
    <x v="2"/>
    <s v="Soga Nudos"/>
    <s v="Retail"/>
    <n v="55"/>
    <n v="4000"/>
    <n v="220000"/>
    <n v="2480"/>
    <n v="136400"/>
    <n v="83600"/>
    <n v="0.38"/>
  </r>
  <r>
    <s v="V-0101"/>
    <d v="2026-08-23T00:00:00"/>
    <x v="1"/>
    <x v="1"/>
    <x v="0"/>
    <x v="3"/>
    <s v="Transportadora S"/>
    <s v="Distribuidor"/>
    <n v="46"/>
    <n v="30600"/>
    <n v="1407600"/>
    <n v="22032"/>
    <n v="1013472"/>
    <n v="394128"/>
    <n v="0.28000000000000003"/>
  </r>
  <r>
    <s v="V-0102"/>
    <d v="2026-02-09T00:00:00"/>
    <x v="0"/>
    <x v="4"/>
    <x v="3"/>
    <x v="0"/>
    <s v="Bebedero Automático"/>
    <s v="Distribuidor"/>
    <n v="52"/>
    <n v="16200"/>
    <n v="842400"/>
    <n v="9720"/>
    <n v="505440"/>
    <n v="336960"/>
    <n v="0.4"/>
  </r>
  <r>
    <s v="V-0103"/>
    <d v="2026-05-09T00:00:00"/>
    <x v="2"/>
    <x v="5"/>
    <x v="0"/>
    <x v="4"/>
    <s v="Bandeja Sanitaria"/>
    <s v="Distribuidor"/>
    <n v="53"/>
    <n v="13300"/>
    <n v="704900"/>
    <n v="7315.0000000000009"/>
    <n v="387695.00000000006"/>
    <n v="317204.99999999994"/>
    <n v="0.4499999999999999"/>
  </r>
  <r>
    <s v="V-0104"/>
    <d v="2026-08-05T00:00:00"/>
    <x v="1"/>
    <x v="3"/>
    <x v="1"/>
    <x v="3"/>
    <s v="Transportadora L"/>
    <s v="Mayorista"/>
    <n v="41"/>
    <n v="50200"/>
    <n v="2058200"/>
    <n v="36144"/>
    <n v="1481904"/>
    <n v="576296"/>
    <n v="0.28000000000000003"/>
  </r>
  <r>
    <s v="V-0105"/>
    <d v="2026-02-20T00:00:00"/>
    <x v="0"/>
    <x v="5"/>
    <x v="0"/>
    <x v="0"/>
    <s v="Comedero Antideslizante"/>
    <s v="Retail"/>
    <n v="36"/>
    <n v="8000"/>
    <n v="288000"/>
    <n v="4800"/>
    <n v="172800"/>
    <n v="115200"/>
    <n v="0.4"/>
  </r>
  <r>
    <s v="V-0106"/>
    <d v="2026-08-12T00:00:00"/>
    <x v="1"/>
    <x v="3"/>
    <x v="1"/>
    <x v="4"/>
    <s v="Rodillo Quitapelos"/>
    <s v="Retail"/>
    <n v="39"/>
    <n v="6200"/>
    <n v="241800"/>
    <n v="3410.0000000000005"/>
    <n v="132990.00000000003"/>
    <n v="108809.99999999997"/>
    <n v="0.4499999999999999"/>
  </r>
  <r>
    <s v="V-0107"/>
    <d v="2026-01-31T00:00:00"/>
    <x v="4"/>
    <x v="1"/>
    <x v="2"/>
    <x v="3"/>
    <s v="Transportadora S"/>
    <s v="Distribuidor"/>
    <n v="24"/>
    <n v="27400"/>
    <n v="657600"/>
    <n v="19728"/>
    <n v="473472"/>
    <n v="184128"/>
    <n v="0.28000000000000003"/>
  </r>
  <r>
    <s v="V-0108"/>
    <d v="2026-02-08T00:00:00"/>
    <x v="0"/>
    <x v="3"/>
    <x v="0"/>
    <x v="1"/>
    <s v="Cama Cueva"/>
    <s v="Retail"/>
    <n v="4"/>
    <n v="23300"/>
    <n v="93200"/>
    <n v="15844.000000000002"/>
    <n v="63376.000000000007"/>
    <n v="29823.999999999993"/>
    <n v="0.3199999999999999"/>
  </r>
  <r>
    <s v="V-0109"/>
    <d v="2026-05-03T00:00:00"/>
    <x v="2"/>
    <x v="5"/>
    <x v="1"/>
    <x v="0"/>
    <s v="Bebedero Automático"/>
    <s v="Mayorista"/>
    <n v="35"/>
    <n v="16100"/>
    <n v="563500"/>
    <n v="9660"/>
    <n v="338100"/>
    <n v="225400"/>
    <n v="0.4"/>
  </r>
  <r>
    <s v="V-0110"/>
    <d v="2026-02-26T00:00:00"/>
    <x v="0"/>
    <x v="1"/>
    <x v="0"/>
    <x v="2"/>
    <s v="Juguete Interactivo"/>
    <s v="Distribuidor"/>
    <n v="23"/>
    <n v="9900"/>
    <n v="227700"/>
    <n v="6138"/>
    <n v="141174"/>
    <n v="86526"/>
    <n v="0.38"/>
  </r>
  <r>
    <s v="V-0111"/>
    <d v="2026-07-12T00:00:00"/>
    <x v="7"/>
    <x v="0"/>
    <x v="3"/>
    <x v="2"/>
    <s v="Mordillo Dental"/>
    <s v="Retail"/>
    <n v="15"/>
    <n v="5300"/>
    <n v="79500"/>
    <n v="3286"/>
    <n v="49290"/>
    <n v="30210"/>
    <n v="0.38"/>
  </r>
  <r>
    <s v="V-0112"/>
    <d v="2026-02-16T00:00:00"/>
    <x v="0"/>
    <x v="4"/>
    <x v="1"/>
    <x v="1"/>
    <s v="Cama Rectangular S"/>
    <s v="Distribuidor"/>
    <n v="46"/>
    <n v="15500"/>
    <n v="713000"/>
    <n v="10540"/>
    <n v="484840"/>
    <n v="228160"/>
    <n v="0.32"/>
  </r>
  <r>
    <s v="V-0113"/>
    <d v="2026-05-22T00:00:00"/>
    <x v="2"/>
    <x v="1"/>
    <x v="0"/>
    <x v="1"/>
    <s v="Cama Rectangular S"/>
    <s v="Retail"/>
    <n v="30"/>
    <n v="14700"/>
    <n v="441000"/>
    <n v="9996"/>
    <n v="299880"/>
    <n v="141120"/>
    <n v="0.32"/>
  </r>
  <r>
    <s v="V-0114"/>
    <d v="2026-03-05T00:00:00"/>
    <x v="3"/>
    <x v="2"/>
    <x v="4"/>
    <x v="1"/>
    <s v="Cama Cueva"/>
    <s v="Retail"/>
    <n v="40"/>
    <n v="22900"/>
    <n v="916000"/>
    <n v="15572.000000000002"/>
    <n v="622880.00000000012"/>
    <n v="293119.99999999988"/>
    <n v="0.3199999999999999"/>
  </r>
  <r>
    <s v="V-0115"/>
    <d v="2026-08-19T00:00:00"/>
    <x v="1"/>
    <x v="1"/>
    <x v="4"/>
    <x v="1"/>
    <s v="Cama Rectangular M"/>
    <s v="Mayorista"/>
    <n v="33"/>
    <n v="20100"/>
    <n v="663300"/>
    <n v="13668.000000000002"/>
    <n v="451044.00000000006"/>
    <n v="212255.99999999994"/>
    <n v="0.3199999999999999"/>
  </r>
  <r>
    <s v="V-0116"/>
    <d v="2026-04-02T00:00:00"/>
    <x v="6"/>
    <x v="0"/>
    <x v="0"/>
    <x v="2"/>
    <s v="Soga Nudos"/>
    <s v="Distribuidor"/>
    <n v="36"/>
    <n v="4300"/>
    <n v="154800"/>
    <n v="2666"/>
    <n v="95976"/>
    <n v="58824"/>
    <n v="0.38"/>
  </r>
  <r>
    <s v="V-0117"/>
    <d v="2026-06-16T00:00:00"/>
    <x v="5"/>
    <x v="1"/>
    <x v="2"/>
    <x v="4"/>
    <s v="Bandeja Sanitaria"/>
    <s v="Distribuidor"/>
    <n v="30"/>
    <n v="13700"/>
    <n v="411000"/>
    <n v="7535.0000000000009"/>
    <n v="226050.00000000003"/>
    <n v="184949.99999999997"/>
    <n v="0.44999999999999996"/>
  </r>
  <r>
    <s v="V-0118"/>
    <d v="2026-04-21T00:00:00"/>
    <x v="6"/>
    <x v="5"/>
    <x v="3"/>
    <x v="3"/>
    <s v="Transportadora M"/>
    <s v="Distribuidor"/>
    <n v="55"/>
    <n v="38900"/>
    <n v="2139500"/>
    <n v="28008"/>
    <n v="1540440"/>
    <n v="599060"/>
    <n v="0.28000000000000003"/>
  </r>
  <r>
    <s v="V-0119"/>
    <d v="2026-02-24T00:00:00"/>
    <x v="0"/>
    <x v="4"/>
    <x v="0"/>
    <x v="4"/>
    <s v="Cepillo Mascotas"/>
    <s v="Distribuidor"/>
    <n v="35"/>
    <n v="8200"/>
    <n v="287000"/>
    <n v="4510"/>
    <n v="157850"/>
    <n v="129150"/>
    <n v="0.45"/>
  </r>
  <r>
    <s v="V-0120"/>
    <d v="2026-06-17T00:00:00"/>
    <x v="5"/>
    <x v="4"/>
    <x v="1"/>
    <x v="2"/>
    <s v="Juguete Interactivo"/>
    <s v="Distribuidor"/>
    <n v="29"/>
    <n v="9700"/>
    <n v="281300"/>
    <n v="6014"/>
    <n v="174406"/>
    <n v="106894"/>
    <n v="0.38"/>
  </r>
  <r>
    <s v="V-0121"/>
    <d v="2026-02-09T00:00:00"/>
    <x v="0"/>
    <x v="5"/>
    <x v="0"/>
    <x v="3"/>
    <s v="Transportadora S"/>
    <s v="Distribuidor"/>
    <n v="4"/>
    <n v="30200"/>
    <n v="120800"/>
    <n v="21744"/>
    <n v="86976"/>
    <n v="33824"/>
    <n v="0.28000000000000003"/>
  </r>
  <r>
    <s v="V-0122"/>
    <d v="2026-04-24T00:00:00"/>
    <x v="6"/>
    <x v="0"/>
    <x v="3"/>
    <x v="3"/>
    <s v="Transportadora S"/>
    <s v="Mayorista"/>
    <n v="31"/>
    <n v="28200"/>
    <n v="874200"/>
    <n v="20304"/>
    <n v="629424"/>
    <n v="244776"/>
    <n v="0.28000000000000003"/>
  </r>
  <r>
    <s v="V-0123"/>
    <d v="2026-07-18T00:00:00"/>
    <x v="7"/>
    <x v="4"/>
    <x v="0"/>
    <x v="2"/>
    <s v="Juguete Interactivo"/>
    <s v="Retail"/>
    <n v="19"/>
    <n v="10000"/>
    <n v="190000"/>
    <n v="6200"/>
    <n v="117800"/>
    <n v="72200"/>
    <n v="0.38"/>
  </r>
  <r>
    <s v="V-0124"/>
    <d v="2026-07-02T00:00:00"/>
    <x v="7"/>
    <x v="2"/>
    <x v="4"/>
    <x v="2"/>
    <s v="Juguete Interactivo"/>
    <s v="Retail"/>
    <n v="40"/>
    <n v="9500"/>
    <n v="380000"/>
    <n v="5890"/>
    <n v="235600"/>
    <n v="144400"/>
    <n v="0.38"/>
  </r>
  <r>
    <s v="V-0125"/>
    <d v="2026-03-21T00:00:00"/>
    <x v="3"/>
    <x v="3"/>
    <x v="0"/>
    <x v="4"/>
    <s v="Rodillo Quitapelos"/>
    <s v="Distribuidor"/>
    <n v="51"/>
    <n v="5700"/>
    <n v="290700"/>
    <n v="3135.0000000000005"/>
    <n v="159885.00000000003"/>
    <n v="130814.99999999997"/>
    <n v="0.4499999999999999"/>
  </r>
  <r>
    <s v="V-0126"/>
    <d v="2026-02-14T00:00:00"/>
    <x v="0"/>
    <x v="3"/>
    <x v="4"/>
    <x v="0"/>
    <s v="Comedero Simple"/>
    <s v="Distribuidor"/>
    <n v="13"/>
    <n v="4000"/>
    <n v="52000"/>
    <n v="2400"/>
    <n v="31200"/>
    <n v="20800"/>
    <n v="0.4"/>
  </r>
  <r>
    <s v="V-0127"/>
    <d v="2026-02-12T00:00:00"/>
    <x v="0"/>
    <x v="0"/>
    <x v="0"/>
    <x v="4"/>
    <s v="Bandeja Sanitaria"/>
    <s v="Distribuidor"/>
    <n v="4"/>
    <n v="12700"/>
    <n v="50800"/>
    <n v="6985.0000000000009"/>
    <n v="27940.000000000004"/>
    <n v="22859.999999999996"/>
    <n v="0.44999999999999996"/>
  </r>
  <r>
    <s v="V-0128"/>
    <d v="2026-04-12T00:00:00"/>
    <x v="6"/>
    <x v="0"/>
    <x v="0"/>
    <x v="1"/>
    <s v="Cama Rectangular M"/>
    <s v="Retail"/>
    <n v="46"/>
    <n v="20000"/>
    <n v="920000"/>
    <n v="13600.000000000002"/>
    <n v="625600.00000000012"/>
    <n v="294399.99999999988"/>
    <n v="0.3199999999999999"/>
  </r>
  <r>
    <s v="V-0129"/>
    <d v="2026-03-28T00:00:00"/>
    <x v="3"/>
    <x v="1"/>
    <x v="0"/>
    <x v="2"/>
    <s v="Juguete Interactivo"/>
    <s v="Distribuidor"/>
    <n v="50"/>
    <n v="10500"/>
    <n v="525000"/>
    <n v="6510"/>
    <n v="325500"/>
    <n v="199500"/>
    <n v="0.38"/>
  </r>
  <r>
    <s v="V-0130"/>
    <d v="2026-01-05T00:00:00"/>
    <x v="4"/>
    <x v="2"/>
    <x v="3"/>
    <x v="3"/>
    <s v="Transportadora S"/>
    <s v="Distribuidor"/>
    <n v="45"/>
    <n v="27700"/>
    <n v="1246500"/>
    <n v="19944"/>
    <n v="897480"/>
    <n v="349020"/>
    <n v="0.28000000000000003"/>
  </r>
  <r>
    <s v="V-0131"/>
    <d v="2026-05-31T00:00:00"/>
    <x v="2"/>
    <x v="4"/>
    <x v="4"/>
    <x v="4"/>
    <s v="Rodillo Quitapelos"/>
    <s v="Distribuidor"/>
    <n v="29"/>
    <n v="6000"/>
    <n v="174000"/>
    <n v="3300.0000000000005"/>
    <n v="95700.000000000015"/>
    <n v="78299.999999999985"/>
    <n v="0.4499999999999999"/>
  </r>
  <r>
    <s v="V-0132"/>
    <d v="2026-02-21T00:00:00"/>
    <x v="0"/>
    <x v="1"/>
    <x v="1"/>
    <x v="3"/>
    <s v="Transportadora L"/>
    <s v="Distribuidor"/>
    <n v="15"/>
    <n v="46200"/>
    <n v="693000"/>
    <n v="33264"/>
    <n v="498960"/>
    <n v="194040"/>
    <n v="0.28000000000000003"/>
  </r>
  <r>
    <s v="V-0133"/>
    <d v="2026-02-25T00:00:00"/>
    <x v="0"/>
    <x v="2"/>
    <x v="1"/>
    <x v="1"/>
    <s v="Cama Rectangular S"/>
    <s v="Mayorista"/>
    <n v="41"/>
    <n v="14900"/>
    <n v="610900"/>
    <n v="10132"/>
    <n v="415412"/>
    <n v="195488"/>
    <n v="0.32"/>
  </r>
  <r>
    <s v="V-0134"/>
    <d v="2026-06-23T00:00:00"/>
    <x v="5"/>
    <x v="1"/>
    <x v="0"/>
    <x v="4"/>
    <s v="Bandeja Sanitaria"/>
    <s v="Retail"/>
    <n v="54"/>
    <n v="13500"/>
    <n v="729000"/>
    <n v="7425.0000000000009"/>
    <n v="400950.00000000006"/>
    <n v="328049.99999999994"/>
    <n v="0.4499999999999999"/>
  </r>
  <r>
    <s v="V-0135"/>
    <d v="2026-01-23T00:00:00"/>
    <x v="4"/>
    <x v="0"/>
    <x v="1"/>
    <x v="3"/>
    <s v="Transportadora S"/>
    <s v="Distribuidor"/>
    <n v="23"/>
    <n v="28800"/>
    <n v="662400"/>
    <n v="20736"/>
    <n v="476928"/>
    <n v="185472"/>
    <n v="0.28000000000000003"/>
  </r>
  <r>
    <s v="V-0136"/>
    <d v="2026-08-23T00:00:00"/>
    <x v="1"/>
    <x v="1"/>
    <x v="4"/>
    <x v="0"/>
    <s v="Comedero Antideslizante"/>
    <s v="Retail"/>
    <n v="25"/>
    <n v="7600"/>
    <n v="190000"/>
    <n v="4560"/>
    <n v="114000"/>
    <n v="76000"/>
    <n v="0.4"/>
  </r>
  <r>
    <s v="V-0137"/>
    <d v="2026-06-21T00:00:00"/>
    <x v="5"/>
    <x v="4"/>
    <x v="1"/>
    <x v="4"/>
    <s v="Cepillo Mascotas"/>
    <s v="Distribuidor"/>
    <n v="18"/>
    <n v="7300"/>
    <n v="131400"/>
    <n v="4015.0000000000005"/>
    <n v="72270.000000000015"/>
    <n v="59129.999999999985"/>
    <n v="0.4499999999999999"/>
  </r>
  <r>
    <s v="V-0138"/>
    <d v="2026-07-27T00:00:00"/>
    <x v="7"/>
    <x v="1"/>
    <x v="1"/>
    <x v="3"/>
    <s v="Transportadora L"/>
    <s v="Distribuidor"/>
    <n v="48"/>
    <n v="50600"/>
    <n v="2428800"/>
    <n v="36432"/>
    <n v="1748736"/>
    <n v="680064"/>
    <n v="0.28000000000000003"/>
  </r>
  <r>
    <s v="V-0139"/>
    <d v="2026-08-05T00:00:00"/>
    <x v="1"/>
    <x v="2"/>
    <x v="2"/>
    <x v="3"/>
    <s v="Transportadora L"/>
    <s v="Distribuidor"/>
    <n v="36"/>
    <n v="50400"/>
    <n v="1814400"/>
    <n v="36288"/>
    <n v="1306368"/>
    <n v="508032"/>
    <n v="0.28000000000000003"/>
  </r>
  <r>
    <s v="V-0140"/>
    <d v="2026-07-28T00:00:00"/>
    <x v="7"/>
    <x v="4"/>
    <x v="4"/>
    <x v="0"/>
    <s v="Comedero Doble"/>
    <s v="Distribuidor"/>
    <n v="9"/>
    <n v="6200"/>
    <n v="55800"/>
    <n v="3720"/>
    <n v="33480"/>
    <n v="22320"/>
    <n v="0.4"/>
  </r>
  <r>
    <s v="V-0141"/>
    <d v="2026-04-26T00:00:00"/>
    <x v="6"/>
    <x v="2"/>
    <x v="0"/>
    <x v="4"/>
    <s v="Bandeja Sanitaria"/>
    <s v="Distribuidor"/>
    <n v="53"/>
    <n v="13300"/>
    <n v="704900"/>
    <n v="7315.0000000000009"/>
    <n v="387695.00000000006"/>
    <n v="317204.99999999994"/>
    <n v="0.4499999999999999"/>
  </r>
  <r>
    <s v="V-0142"/>
    <d v="2026-05-28T00:00:00"/>
    <x v="2"/>
    <x v="5"/>
    <x v="3"/>
    <x v="2"/>
    <s v="Pelota Goma"/>
    <s v="Retail"/>
    <n v="40"/>
    <n v="3000"/>
    <n v="120000"/>
    <n v="1860"/>
    <n v="74400"/>
    <n v="45600"/>
    <n v="0.38"/>
  </r>
  <r>
    <s v="V-0143"/>
    <d v="2026-08-25T00:00:00"/>
    <x v="1"/>
    <x v="4"/>
    <x v="4"/>
    <x v="3"/>
    <s v="Transportadora S"/>
    <s v="Retail"/>
    <n v="45"/>
    <n v="30300"/>
    <n v="1363500"/>
    <n v="21816"/>
    <n v="981720"/>
    <n v="381780"/>
    <n v="0.28000000000000003"/>
  </r>
  <r>
    <s v="V-0144"/>
    <d v="2026-05-10T00:00:00"/>
    <x v="2"/>
    <x v="5"/>
    <x v="2"/>
    <x v="1"/>
    <s v="Cama Cueva"/>
    <s v="Mayorista"/>
    <n v="52"/>
    <n v="23500"/>
    <n v="1222000"/>
    <n v="15980.000000000002"/>
    <n v="830960.00000000012"/>
    <n v="391039.99999999988"/>
    <n v="0.3199999999999999"/>
  </r>
  <r>
    <s v="V-0145"/>
    <d v="2026-05-25T00:00:00"/>
    <x v="2"/>
    <x v="2"/>
    <x v="0"/>
    <x v="4"/>
    <s v="Pala Sanitaria"/>
    <s v="Retail"/>
    <n v="11"/>
    <n v="3300"/>
    <n v="36300"/>
    <n v="1815.0000000000002"/>
    <n v="19965.000000000004"/>
    <n v="16334.999999999996"/>
    <n v="0.4499999999999999"/>
  </r>
  <r>
    <s v="V-0146"/>
    <d v="2026-06-12T00:00:00"/>
    <x v="5"/>
    <x v="4"/>
    <x v="4"/>
    <x v="1"/>
    <s v="Cama Rectangular S"/>
    <s v="Retail"/>
    <n v="37"/>
    <n v="15200"/>
    <n v="562400"/>
    <n v="10336"/>
    <n v="382432"/>
    <n v="179968"/>
    <n v="0.32"/>
  </r>
  <r>
    <s v="V-0147"/>
    <d v="2026-02-07T00:00:00"/>
    <x v="0"/>
    <x v="1"/>
    <x v="2"/>
    <x v="2"/>
    <s v="Mordillo Dental"/>
    <s v="Retail"/>
    <n v="38"/>
    <n v="5300"/>
    <n v="201400"/>
    <n v="3286"/>
    <n v="124868"/>
    <n v="76532"/>
    <n v="0.38"/>
  </r>
  <r>
    <s v="V-0148"/>
    <d v="2026-02-07T00:00:00"/>
    <x v="0"/>
    <x v="2"/>
    <x v="0"/>
    <x v="3"/>
    <s v="Transportadora S"/>
    <s v="Retail"/>
    <n v="50"/>
    <n v="30300"/>
    <n v="1515000"/>
    <n v="21816"/>
    <n v="1090800"/>
    <n v="424200"/>
    <n v="0.28000000000000003"/>
  </r>
  <r>
    <s v="V-0149"/>
    <d v="2026-05-10T00:00:00"/>
    <x v="2"/>
    <x v="2"/>
    <x v="4"/>
    <x v="2"/>
    <s v="Soga Nudos"/>
    <s v="Distribuidor"/>
    <n v="41"/>
    <n v="4500"/>
    <n v="184500"/>
    <n v="2790"/>
    <n v="114390"/>
    <n v="70110"/>
    <n v="0.38"/>
  </r>
  <r>
    <s v="V-0150"/>
    <d v="2026-04-12T00:00:00"/>
    <x v="6"/>
    <x v="4"/>
    <x v="2"/>
    <x v="4"/>
    <s v="Cepillo Mascotas"/>
    <s v="Retail"/>
    <n v="14"/>
    <n v="7700"/>
    <n v="107800"/>
    <n v="4235"/>
    <n v="59290"/>
    <n v="48510"/>
    <n v="0.45"/>
  </r>
  <r>
    <s v="V-0151"/>
    <d v="2026-01-20T00:00:00"/>
    <x v="4"/>
    <x v="4"/>
    <x v="0"/>
    <x v="3"/>
    <s v="Transportadora S"/>
    <s v="Mayorista"/>
    <n v="55"/>
    <n v="30300"/>
    <n v="1666500"/>
    <n v="21816"/>
    <n v="1199880"/>
    <n v="466620"/>
    <n v="0.28000000000000003"/>
  </r>
  <r>
    <s v="V-0152"/>
    <d v="2026-08-24T00:00:00"/>
    <x v="1"/>
    <x v="4"/>
    <x v="0"/>
    <x v="1"/>
    <s v="Cama Cueva"/>
    <s v="Distribuidor"/>
    <n v="42"/>
    <n v="24200"/>
    <n v="1016400"/>
    <n v="16456"/>
    <n v="691152"/>
    <n v="325248"/>
    <n v="0.32"/>
  </r>
  <r>
    <s v="V-0153"/>
    <d v="2026-06-01T00:00:00"/>
    <x v="5"/>
    <x v="1"/>
    <x v="0"/>
    <x v="1"/>
    <s v="Cama Cueva"/>
    <s v="Distribuidor"/>
    <n v="50"/>
    <n v="22900"/>
    <n v="1145000"/>
    <n v="15572.000000000002"/>
    <n v="778600.00000000012"/>
    <n v="366399.99999999988"/>
    <n v="0.3199999999999999"/>
  </r>
  <r>
    <s v="V-0154"/>
    <d v="2026-06-30T00:00:00"/>
    <x v="5"/>
    <x v="2"/>
    <x v="1"/>
    <x v="3"/>
    <s v="Transportadora M"/>
    <s v="Distribuidor"/>
    <n v="41"/>
    <n v="38100"/>
    <n v="1562100"/>
    <n v="27432"/>
    <n v="1124712"/>
    <n v="437388"/>
    <n v="0.28000000000000003"/>
  </r>
  <r>
    <s v="V-0155"/>
    <d v="2026-05-24T00:00:00"/>
    <x v="2"/>
    <x v="0"/>
    <x v="1"/>
    <x v="1"/>
    <s v="Cama Rectangular S"/>
    <s v="Retail"/>
    <n v="20"/>
    <n v="15500"/>
    <n v="310000"/>
    <n v="10540"/>
    <n v="210800"/>
    <n v="99200"/>
    <n v="0.32"/>
  </r>
  <r>
    <s v="V-0156"/>
    <d v="2026-03-08T00:00:00"/>
    <x v="3"/>
    <x v="2"/>
    <x v="2"/>
    <x v="2"/>
    <s v="Pelota Goma"/>
    <s v="Distribuidor"/>
    <n v="28"/>
    <n v="2800"/>
    <n v="78400"/>
    <n v="1736"/>
    <n v="48608"/>
    <n v="29792"/>
    <n v="0.38"/>
  </r>
  <r>
    <s v="V-0157"/>
    <d v="2026-01-16T00:00:00"/>
    <x v="4"/>
    <x v="0"/>
    <x v="0"/>
    <x v="1"/>
    <s v="Cama Rectangular L"/>
    <s v="Retail"/>
    <n v="37"/>
    <n v="27800"/>
    <n v="1028600"/>
    <n v="18904"/>
    <n v="699448"/>
    <n v="329152"/>
    <n v="0.32"/>
  </r>
  <r>
    <s v="V-0158"/>
    <d v="2026-01-25T00:00:00"/>
    <x v="4"/>
    <x v="1"/>
    <x v="2"/>
    <x v="4"/>
    <s v="Pala Sanitaria"/>
    <s v="Retail"/>
    <n v="36"/>
    <n v="3600"/>
    <n v="129600"/>
    <n v="1980.0000000000002"/>
    <n v="71280.000000000015"/>
    <n v="58319.999999999985"/>
    <n v="0.4499999999999999"/>
  </r>
  <r>
    <s v="V-0159"/>
    <d v="2026-05-06T00:00:00"/>
    <x v="2"/>
    <x v="5"/>
    <x v="2"/>
    <x v="1"/>
    <s v="Cama Rectangular S"/>
    <s v="Distribuidor"/>
    <n v="39"/>
    <n v="14300"/>
    <n v="557700"/>
    <n v="9724"/>
    <n v="379236"/>
    <n v="178464"/>
    <n v="0.32"/>
  </r>
  <r>
    <s v="V-0160"/>
    <d v="2026-01-14T00:00:00"/>
    <x v="4"/>
    <x v="1"/>
    <x v="0"/>
    <x v="0"/>
    <s v="Comedero Doble"/>
    <s v="Retail"/>
    <n v="28"/>
    <n v="6100"/>
    <n v="170800"/>
    <n v="3660"/>
    <n v="102480"/>
    <n v="68320"/>
    <n v="0.4"/>
  </r>
  <r>
    <s v="V-0161"/>
    <d v="2026-05-27T00:00:00"/>
    <x v="2"/>
    <x v="0"/>
    <x v="3"/>
    <x v="0"/>
    <s v="Comedero Antideslizante"/>
    <s v="Mayorista"/>
    <n v="34"/>
    <n v="8500"/>
    <n v="289000"/>
    <n v="5100"/>
    <n v="173400"/>
    <n v="115600"/>
    <n v="0.4"/>
  </r>
  <r>
    <s v="V-0162"/>
    <d v="2026-06-18T00:00:00"/>
    <x v="5"/>
    <x v="2"/>
    <x v="2"/>
    <x v="1"/>
    <s v="Cama Rectangular L"/>
    <s v="Distribuidor"/>
    <n v="53"/>
    <n v="26400"/>
    <n v="1399200"/>
    <n v="17952"/>
    <n v="951456"/>
    <n v="447744"/>
    <n v="0.32"/>
  </r>
  <r>
    <s v="V-0163"/>
    <d v="2026-08-21T00:00:00"/>
    <x v="1"/>
    <x v="5"/>
    <x v="0"/>
    <x v="1"/>
    <s v="Cama Rectangular S"/>
    <s v="Retail"/>
    <n v="27"/>
    <n v="15600"/>
    <n v="421200"/>
    <n v="10608"/>
    <n v="286416"/>
    <n v="134784"/>
    <n v="0.32"/>
  </r>
  <r>
    <s v="V-0164"/>
    <d v="2026-04-02T00:00:00"/>
    <x v="6"/>
    <x v="2"/>
    <x v="0"/>
    <x v="0"/>
    <s v="Comedero Doble"/>
    <s v="Distribuidor"/>
    <n v="19"/>
    <n v="6200"/>
    <n v="117800"/>
    <n v="3720"/>
    <n v="70680"/>
    <n v="47120"/>
    <n v="0.4"/>
  </r>
  <r>
    <s v="V-0165"/>
    <d v="2026-07-14T00:00:00"/>
    <x v="7"/>
    <x v="5"/>
    <x v="0"/>
    <x v="4"/>
    <s v="Bandeja Sanitaria"/>
    <s v="Mayorista"/>
    <n v="55"/>
    <n v="13800"/>
    <n v="759000"/>
    <n v="7590.0000000000009"/>
    <n v="417450.00000000006"/>
    <n v="341549.99999999994"/>
    <n v="0.4499999999999999"/>
  </r>
  <r>
    <s v="V-0166"/>
    <d v="2026-05-18T00:00:00"/>
    <x v="2"/>
    <x v="2"/>
    <x v="4"/>
    <x v="1"/>
    <s v="Cama Cueva"/>
    <s v="Distribuidor"/>
    <n v="38"/>
    <n v="23800"/>
    <n v="904400"/>
    <n v="16184.000000000002"/>
    <n v="614992.00000000012"/>
    <n v="289407.99999999988"/>
    <n v="0.3199999999999999"/>
  </r>
  <r>
    <s v="V-0167"/>
    <d v="2026-01-18T00:00:00"/>
    <x v="4"/>
    <x v="3"/>
    <x v="2"/>
    <x v="2"/>
    <s v="Mordillo Dental"/>
    <s v="Retail"/>
    <n v="50"/>
    <n v="5300"/>
    <n v="265000"/>
    <n v="3286"/>
    <n v="164300"/>
    <n v="100700"/>
    <n v="0.38"/>
  </r>
  <r>
    <s v="V-0168"/>
    <d v="2026-04-10T00:00:00"/>
    <x v="6"/>
    <x v="2"/>
    <x v="3"/>
    <x v="1"/>
    <s v="Cama Rectangular S"/>
    <s v="Distribuidor"/>
    <n v="52"/>
    <n v="13900"/>
    <n v="722800"/>
    <n v="9452"/>
    <n v="491504"/>
    <n v="231296"/>
    <n v="0.32"/>
  </r>
  <r>
    <s v="V-0169"/>
    <d v="2026-02-28T00:00:00"/>
    <x v="0"/>
    <x v="0"/>
    <x v="0"/>
    <x v="3"/>
    <s v="Transportadora L"/>
    <s v="Mayorista"/>
    <n v="41"/>
    <n v="48200"/>
    <n v="1976200"/>
    <n v="34704"/>
    <n v="1422864"/>
    <n v="553336"/>
    <n v="0.28000000000000003"/>
  </r>
  <r>
    <s v="V-0170"/>
    <d v="2026-05-21T00:00:00"/>
    <x v="2"/>
    <x v="3"/>
    <x v="1"/>
    <x v="1"/>
    <s v="Cama Rectangular M"/>
    <s v="Distribuidor"/>
    <n v="50"/>
    <n v="20600"/>
    <n v="1030000"/>
    <n v="14008.000000000002"/>
    <n v="700400.00000000012"/>
    <n v="329599.99999999988"/>
    <n v="0.3199999999999999"/>
  </r>
  <r>
    <s v="V-0171"/>
    <d v="2026-08-31T00:00:00"/>
    <x v="1"/>
    <x v="4"/>
    <x v="2"/>
    <x v="3"/>
    <s v="Transportadora L"/>
    <s v="Distribuidor"/>
    <n v="47"/>
    <n v="47900"/>
    <n v="2251300"/>
    <n v="34488"/>
    <n v="1620936"/>
    <n v="630364"/>
    <n v="0.28000000000000003"/>
  </r>
  <r>
    <s v="V-0172"/>
    <d v="2026-02-21T00:00:00"/>
    <x v="0"/>
    <x v="0"/>
    <x v="1"/>
    <x v="2"/>
    <s v="Pelota Goma"/>
    <s v="Retail"/>
    <n v="14"/>
    <n v="2900"/>
    <n v="40600"/>
    <n v="1798"/>
    <n v="25172"/>
    <n v="15428"/>
    <n v="0.38"/>
  </r>
  <r>
    <s v="V-0173"/>
    <d v="2026-08-11T00:00:00"/>
    <x v="1"/>
    <x v="4"/>
    <x v="2"/>
    <x v="4"/>
    <s v="Pala Sanitaria"/>
    <s v="Distribuidor"/>
    <n v="7"/>
    <n v="3500"/>
    <n v="24500"/>
    <n v="1925.0000000000002"/>
    <n v="13475.000000000002"/>
    <n v="11024.999999999998"/>
    <n v="0.4499999999999999"/>
  </r>
  <r>
    <s v="V-0174"/>
    <d v="2026-03-19T00:00:00"/>
    <x v="3"/>
    <x v="0"/>
    <x v="4"/>
    <x v="2"/>
    <s v="Soga Nudos"/>
    <s v="Retail"/>
    <n v="17"/>
    <n v="4200"/>
    <n v="71400"/>
    <n v="2604"/>
    <n v="44268"/>
    <n v="27132"/>
    <n v="0.38"/>
  </r>
  <r>
    <s v="V-0175"/>
    <d v="2026-05-16T00:00:00"/>
    <x v="2"/>
    <x v="3"/>
    <x v="2"/>
    <x v="4"/>
    <s v="Cepillo Mascotas"/>
    <s v="Distribuidor"/>
    <n v="29"/>
    <n v="8100"/>
    <n v="234900"/>
    <n v="4455"/>
    <n v="129195"/>
    <n v="105705"/>
    <n v="0.45"/>
  </r>
  <r>
    <s v="V-0176"/>
    <d v="2026-05-16T00:00:00"/>
    <x v="2"/>
    <x v="2"/>
    <x v="0"/>
    <x v="1"/>
    <s v="Cama Cueva"/>
    <s v="Retail"/>
    <n v="9"/>
    <n v="22600"/>
    <n v="203400"/>
    <n v="15368.000000000002"/>
    <n v="138312.00000000003"/>
    <n v="65087.999999999971"/>
    <n v="0.31999999999999984"/>
  </r>
  <r>
    <s v="V-0177"/>
    <d v="2026-05-28T00:00:00"/>
    <x v="2"/>
    <x v="0"/>
    <x v="2"/>
    <x v="3"/>
    <s v="Transportadora M"/>
    <s v="Distribuidor"/>
    <n v="23"/>
    <n v="39200"/>
    <n v="901600"/>
    <n v="28224"/>
    <n v="649152"/>
    <n v="252448"/>
    <n v="0.28000000000000003"/>
  </r>
  <r>
    <s v="V-0178"/>
    <d v="2026-03-01T00:00:00"/>
    <x v="3"/>
    <x v="0"/>
    <x v="1"/>
    <x v="1"/>
    <s v="Cama Rectangular S"/>
    <s v="Mayorista"/>
    <n v="47"/>
    <n v="15100"/>
    <n v="709700"/>
    <n v="10268"/>
    <n v="482596"/>
    <n v="227104"/>
    <n v="0.32"/>
  </r>
  <r>
    <s v="V-0179"/>
    <d v="2026-01-30T00:00:00"/>
    <x v="4"/>
    <x v="5"/>
    <x v="3"/>
    <x v="0"/>
    <s v="Bebedero Automático"/>
    <s v="Distribuidor"/>
    <n v="41"/>
    <n v="15200"/>
    <n v="623200"/>
    <n v="9120"/>
    <n v="373920"/>
    <n v="249280"/>
    <n v="0.4"/>
  </r>
  <r>
    <s v="V-0180"/>
    <d v="2026-04-22T00:00:00"/>
    <x v="6"/>
    <x v="2"/>
    <x v="2"/>
    <x v="0"/>
    <s v="Comedero Doble"/>
    <s v="Mayorista"/>
    <n v="37"/>
    <n v="6100"/>
    <n v="225700"/>
    <n v="3660"/>
    <n v="135420"/>
    <n v="90280"/>
    <n v="0.4"/>
  </r>
  <r>
    <s v="V-0181"/>
    <d v="2026-06-28T00:00:00"/>
    <x v="5"/>
    <x v="4"/>
    <x v="2"/>
    <x v="0"/>
    <s v="Bebedero Automático"/>
    <s v="Retail"/>
    <n v="16"/>
    <n v="16000"/>
    <n v="256000"/>
    <n v="9600"/>
    <n v="153600"/>
    <n v="102400"/>
    <n v="0.4"/>
  </r>
  <r>
    <s v="V-0182"/>
    <d v="2026-07-13T00:00:00"/>
    <x v="7"/>
    <x v="1"/>
    <x v="0"/>
    <x v="3"/>
    <s v="Transportadora M"/>
    <s v="Distribuidor"/>
    <n v="18"/>
    <n v="39200"/>
    <n v="705600"/>
    <n v="28224"/>
    <n v="508032"/>
    <n v="197568"/>
    <n v="0.28000000000000003"/>
  </r>
  <r>
    <s v="V-0183"/>
    <d v="2026-08-15T00:00:00"/>
    <x v="1"/>
    <x v="1"/>
    <x v="2"/>
    <x v="3"/>
    <s v="Transportadora L"/>
    <s v="Retail"/>
    <n v="16"/>
    <n v="45600"/>
    <n v="729600"/>
    <n v="32832"/>
    <n v="525312"/>
    <n v="204288"/>
    <n v="0.28000000000000003"/>
  </r>
  <r>
    <s v="V-0184"/>
    <d v="2026-03-24T00:00:00"/>
    <x v="3"/>
    <x v="1"/>
    <x v="0"/>
    <x v="1"/>
    <s v="Cama Cueva"/>
    <s v="Retail"/>
    <n v="48"/>
    <n v="23300"/>
    <n v="1118400"/>
    <n v="15844.000000000002"/>
    <n v="760512.00000000012"/>
    <n v="357887.99999999988"/>
    <n v="0.3199999999999999"/>
  </r>
  <r>
    <s v="V-0185"/>
    <d v="2026-08-25T00:00:00"/>
    <x v="1"/>
    <x v="1"/>
    <x v="1"/>
    <x v="1"/>
    <s v="Cama Rectangular M"/>
    <s v="Retail"/>
    <n v="42"/>
    <n v="18800"/>
    <n v="789600"/>
    <n v="12784.000000000002"/>
    <n v="536928.00000000012"/>
    <n v="252671.99999999988"/>
    <n v="0.31999999999999984"/>
  </r>
  <r>
    <s v="V-0186"/>
    <d v="2026-04-28T00:00:00"/>
    <x v="6"/>
    <x v="0"/>
    <x v="0"/>
    <x v="0"/>
    <s v="Comedero Doble"/>
    <s v="Retail"/>
    <n v="10"/>
    <n v="6700"/>
    <n v="67000"/>
    <n v="4020"/>
    <n v="40200"/>
    <n v="26800"/>
    <n v="0.4"/>
  </r>
  <r>
    <s v="V-0187"/>
    <d v="2026-02-27T00:00:00"/>
    <x v="0"/>
    <x v="5"/>
    <x v="4"/>
    <x v="1"/>
    <s v="Cama Rectangular M"/>
    <s v="Retail"/>
    <n v="32"/>
    <n v="20200"/>
    <n v="646400"/>
    <n v="13736.000000000002"/>
    <n v="439552.00000000006"/>
    <n v="206847.99999999994"/>
    <n v="0.3199999999999999"/>
  </r>
  <r>
    <s v="V-0188"/>
    <d v="2026-05-24T00:00:00"/>
    <x v="2"/>
    <x v="3"/>
    <x v="0"/>
    <x v="1"/>
    <s v="Cama Rectangular M"/>
    <s v="Distribuidor"/>
    <n v="53"/>
    <n v="20000"/>
    <n v="1060000"/>
    <n v="13600.000000000002"/>
    <n v="720800.00000000012"/>
    <n v="339199.99999999988"/>
    <n v="0.3199999999999999"/>
  </r>
  <r>
    <s v="V-0189"/>
    <d v="2026-06-22T00:00:00"/>
    <x v="5"/>
    <x v="0"/>
    <x v="2"/>
    <x v="2"/>
    <s v="Mordillo Dental"/>
    <s v="Distribuidor"/>
    <n v="40"/>
    <n v="5400"/>
    <n v="216000"/>
    <n v="3348"/>
    <n v="133920"/>
    <n v="82080"/>
    <n v="0.38"/>
  </r>
  <r>
    <s v="V-0190"/>
    <d v="2026-05-18T00:00:00"/>
    <x v="2"/>
    <x v="1"/>
    <x v="4"/>
    <x v="4"/>
    <s v="Pala Sanitaria"/>
    <s v="Distribuidor"/>
    <n v="46"/>
    <n v="3700"/>
    <n v="170200"/>
    <n v="2035.0000000000002"/>
    <n v="93610.000000000015"/>
    <n v="76589.999999999985"/>
    <n v="0.4499999999999999"/>
  </r>
  <r>
    <s v="V-0191"/>
    <d v="2026-04-22T00:00:00"/>
    <x v="6"/>
    <x v="3"/>
    <x v="0"/>
    <x v="3"/>
    <s v="Transportadora M"/>
    <s v="Mayorista"/>
    <n v="41"/>
    <n v="37600"/>
    <n v="1541600"/>
    <n v="27072"/>
    <n v="1109952"/>
    <n v="431648"/>
    <n v="0.28000000000000003"/>
  </r>
  <r>
    <s v="V-0192"/>
    <d v="2026-06-20T00:00:00"/>
    <x v="5"/>
    <x v="4"/>
    <x v="1"/>
    <x v="4"/>
    <s v="Rodillo Quitapelos"/>
    <s v="Distribuidor"/>
    <n v="34"/>
    <n v="5800"/>
    <n v="197200"/>
    <n v="3190.0000000000005"/>
    <n v="108460.00000000001"/>
    <n v="88739.999999999985"/>
    <n v="0.4499999999999999"/>
  </r>
  <r>
    <s v="V-0193"/>
    <d v="2026-02-20T00:00:00"/>
    <x v="0"/>
    <x v="2"/>
    <x v="4"/>
    <x v="0"/>
    <s v="Comedero Antideslizante"/>
    <s v="Retail"/>
    <n v="50"/>
    <n v="8200"/>
    <n v="410000"/>
    <n v="4920"/>
    <n v="246000"/>
    <n v="164000"/>
    <n v="0.4"/>
  </r>
  <r>
    <s v="V-0194"/>
    <d v="2026-03-03T00:00:00"/>
    <x v="3"/>
    <x v="2"/>
    <x v="1"/>
    <x v="4"/>
    <s v="Cepillo Mascotas"/>
    <s v="Distribuidor"/>
    <n v="54"/>
    <n v="7800"/>
    <n v="421200"/>
    <n v="4290"/>
    <n v="231660"/>
    <n v="189540"/>
    <n v="0.45"/>
  </r>
  <r>
    <s v="V-0195"/>
    <d v="2026-01-21T00:00:00"/>
    <x v="4"/>
    <x v="0"/>
    <x v="0"/>
    <x v="3"/>
    <s v="Transportadora S"/>
    <s v="Retail"/>
    <n v="52"/>
    <n v="30200"/>
    <n v="1570400"/>
    <n v="21744"/>
    <n v="1130688"/>
    <n v="439712"/>
    <n v="0.28000000000000003"/>
  </r>
  <r>
    <s v="V-0196"/>
    <d v="2026-05-13T00:00:00"/>
    <x v="2"/>
    <x v="5"/>
    <x v="1"/>
    <x v="0"/>
    <s v="Comedero Doble"/>
    <s v="Mayorista"/>
    <n v="28"/>
    <n v="6100"/>
    <n v="170800"/>
    <n v="3660"/>
    <n v="102480"/>
    <n v="68320"/>
    <n v="0.4"/>
  </r>
  <r>
    <s v="V-0197"/>
    <d v="2026-05-14T00:00:00"/>
    <x v="2"/>
    <x v="4"/>
    <x v="4"/>
    <x v="2"/>
    <s v="Mordillo Dental"/>
    <s v="Retail"/>
    <n v="42"/>
    <n v="5100"/>
    <n v="214200"/>
    <n v="3162"/>
    <n v="132804"/>
    <n v="81396"/>
    <n v="0.38"/>
  </r>
  <r>
    <s v="V-0198"/>
    <d v="2026-08-14T00:00:00"/>
    <x v="1"/>
    <x v="0"/>
    <x v="3"/>
    <x v="1"/>
    <s v="Cama Rectangular S"/>
    <s v="Distribuidor"/>
    <n v="15"/>
    <n v="15500"/>
    <n v="232500"/>
    <n v="10540"/>
    <n v="158100"/>
    <n v="74400"/>
    <n v="0.32"/>
  </r>
  <r>
    <s v="V-0199"/>
    <d v="2026-06-29T00:00:00"/>
    <x v="5"/>
    <x v="0"/>
    <x v="0"/>
    <x v="3"/>
    <s v="Transportadora M"/>
    <s v="Distribuidor"/>
    <n v="11"/>
    <n v="38900"/>
    <n v="427900"/>
    <n v="28008"/>
    <n v="308088"/>
    <n v="119812"/>
    <n v="0.28000000000000003"/>
  </r>
  <r>
    <s v="V-0200"/>
    <d v="2026-08-14T00:00:00"/>
    <x v="1"/>
    <x v="1"/>
    <x v="4"/>
    <x v="0"/>
    <s v="Comedero Antideslizante"/>
    <s v="Retail"/>
    <n v="19"/>
    <n v="8000"/>
    <n v="152000"/>
    <n v="4800"/>
    <n v="91200"/>
    <n v="60800"/>
    <n v="0.4"/>
  </r>
  <r>
    <s v="V-0201"/>
    <d v="2026-01-24T00:00:00"/>
    <x v="4"/>
    <x v="3"/>
    <x v="1"/>
    <x v="4"/>
    <s v="Cepillo Mascotas"/>
    <s v="Distribuidor"/>
    <n v="6"/>
    <n v="7900"/>
    <n v="47400"/>
    <n v="4345"/>
    <n v="26070"/>
    <n v="21330"/>
    <n v="0.45"/>
  </r>
  <r>
    <s v="V-0202"/>
    <d v="2026-03-27T00:00:00"/>
    <x v="3"/>
    <x v="3"/>
    <x v="0"/>
    <x v="1"/>
    <s v="Cama Rectangular S"/>
    <s v="Retail"/>
    <n v="41"/>
    <n v="14600"/>
    <n v="598600"/>
    <n v="9928"/>
    <n v="407048"/>
    <n v="191552"/>
    <n v="0.32"/>
  </r>
  <r>
    <s v="V-0203"/>
    <d v="2026-06-21T00:00:00"/>
    <x v="5"/>
    <x v="4"/>
    <x v="0"/>
    <x v="0"/>
    <s v="Comedero Antideslizante"/>
    <s v="Retail"/>
    <n v="52"/>
    <n v="7900"/>
    <n v="410800"/>
    <n v="4740"/>
    <n v="246480"/>
    <n v="164320"/>
    <n v="0.4"/>
  </r>
  <r>
    <s v="V-0204"/>
    <d v="2026-02-04T00:00:00"/>
    <x v="0"/>
    <x v="0"/>
    <x v="0"/>
    <x v="4"/>
    <s v="Bandeja Sanitaria"/>
    <s v="Distribuidor"/>
    <n v="21"/>
    <n v="13600"/>
    <n v="285600"/>
    <n v="7480.0000000000009"/>
    <n v="157080.00000000003"/>
    <n v="128519.99999999997"/>
    <n v="0.4499999999999999"/>
  </r>
  <r>
    <s v="V-0205"/>
    <d v="2026-07-05T00:00:00"/>
    <x v="7"/>
    <x v="3"/>
    <x v="1"/>
    <x v="4"/>
    <s v="Pala Sanitaria"/>
    <s v="Distribuidor"/>
    <n v="19"/>
    <n v="3400"/>
    <n v="64600"/>
    <n v="1870.0000000000002"/>
    <n v="35530.000000000007"/>
    <n v="29069.999999999993"/>
    <n v="0.4499999999999999"/>
  </r>
  <r>
    <s v="V-0206"/>
    <d v="2026-02-04T00:00:00"/>
    <x v="0"/>
    <x v="2"/>
    <x v="2"/>
    <x v="1"/>
    <s v="Cama Rectangular L"/>
    <s v="Distribuidor"/>
    <n v="31"/>
    <n v="26400"/>
    <n v="818400"/>
    <n v="17952"/>
    <n v="556512"/>
    <n v="261888"/>
    <n v="0.32"/>
  </r>
  <r>
    <s v="V-0207"/>
    <d v="2026-06-29T00:00:00"/>
    <x v="5"/>
    <x v="1"/>
    <x v="0"/>
    <x v="3"/>
    <s v="Transportadora S"/>
    <s v="Mayorista"/>
    <n v="28"/>
    <n v="29800"/>
    <n v="834400"/>
    <n v="21456"/>
    <n v="600768"/>
    <n v="233632"/>
    <n v="0.28000000000000003"/>
  </r>
  <r>
    <s v="V-0208"/>
    <d v="2026-06-07T00:00:00"/>
    <x v="5"/>
    <x v="1"/>
    <x v="2"/>
    <x v="4"/>
    <s v="Bandeja Sanitaria"/>
    <s v="Retail"/>
    <n v="27"/>
    <n v="13200"/>
    <n v="356400"/>
    <n v="7260.0000000000009"/>
    <n v="196020.00000000003"/>
    <n v="160379.99999999997"/>
    <n v="0.4499999999999999"/>
  </r>
  <r>
    <s v="V-0209"/>
    <d v="2026-08-21T00:00:00"/>
    <x v="1"/>
    <x v="0"/>
    <x v="4"/>
    <x v="0"/>
    <s v="Bebedero Automático"/>
    <s v="Distribuidor"/>
    <n v="53"/>
    <n v="16700"/>
    <n v="885100"/>
    <n v="10020"/>
    <n v="531060"/>
    <n v="354040"/>
    <n v="0.4"/>
  </r>
  <r>
    <s v="V-0210"/>
    <d v="2026-06-14T00:00:00"/>
    <x v="5"/>
    <x v="3"/>
    <x v="2"/>
    <x v="3"/>
    <s v="Transportadora L"/>
    <s v="Retail"/>
    <n v="4"/>
    <n v="47400"/>
    <n v="189600"/>
    <n v="34128"/>
    <n v="136512"/>
    <n v="53088"/>
    <n v="0.28000000000000003"/>
  </r>
  <r>
    <s v="V-0211"/>
    <d v="2026-02-27T00:00:00"/>
    <x v="0"/>
    <x v="3"/>
    <x v="2"/>
    <x v="1"/>
    <s v="Cama Cueva"/>
    <s v="Retail"/>
    <n v="34"/>
    <n v="23100"/>
    <n v="785400"/>
    <n v="15708.000000000002"/>
    <n v="534072.00000000012"/>
    <n v="251327.99999999988"/>
    <n v="0.31999999999999984"/>
  </r>
  <r>
    <s v="V-0212"/>
    <d v="2026-01-06T00:00:00"/>
    <x v="4"/>
    <x v="5"/>
    <x v="2"/>
    <x v="1"/>
    <s v="Cama Cueva"/>
    <s v="Mayorista"/>
    <n v="61"/>
    <n v="23500"/>
    <n v="1433500"/>
    <n v="15980.000000000002"/>
    <n v="974780.00000000012"/>
    <n v="458719.99999999988"/>
    <n v="0.3199999999999999"/>
  </r>
  <r>
    <s v="V-0213"/>
    <d v="2026-01-04T00:00:00"/>
    <x v="4"/>
    <x v="0"/>
    <x v="3"/>
    <x v="0"/>
    <s v="Comedero Doble"/>
    <s v="Distribuidor"/>
    <n v="36"/>
    <n v="6100"/>
    <n v="219600"/>
    <n v="3660"/>
    <n v="131760"/>
    <n v="87840"/>
    <n v="0.4"/>
  </r>
  <r>
    <s v="V-0214"/>
    <d v="2026-08-26T00:00:00"/>
    <x v="1"/>
    <x v="4"/>
    <x v="1"/>
    <x v="4"/>
    <s v="Bandeja Sanitaria"/>
    <s v="Distribuidor"/>
    <n v="40"/>
    <n v="12800"/>
    <n v="512000"/>
    <n v="7040.0000000000009"/>
    <n v="281600.00000000006"/>
    <n v="230399.99999999994"/>
    <n v="0.4499999999999999"/>
  </r>
  <r>
    <s v="V-0215"/>
    <d v="2026-07-11T00:00:00"/>
    <x v="7"/>
    <x v="3"/>
    <x v="3"/>
    <x v="1"/>
    <s v="Cama Rectangular S"/>
    <s v="Mayorista"/>
    <n v="48"/>
    <n v="15200"/>
    <n v="729600"/>
    <n v="10336"/>
    <n v="496128"/>
    <n v="233472"/>
    <n v="0.32"/>
  </r>
  <r>
    <s v="V-0216"/>
    <d v="2026-06-20T00:00:00"/>
    <x v="5"/>
    <x v="1"/>
    <x v="2"/>
    <x v="3"/>
    <s v="Transportadora L"/>
    <s v="Retail"/>
    <n v="26"/>
    <n v="47700"/>
    <n v="1240200"/>
    <n v="34344"/>
    <n v="892944"/>
    <n v="347256"/>
    <n v="0.28000000000000003"/>
  </r>
  <r>
    <s v="V-0217"/>
    <d v="2026-02-28T00:00:00"/>
    <x v="0"/>
    <x v="2"/>
    <x v="0"/>
    <x v="0"/>
    <s v="Bebedero Automático"/>
    <s v="Mayorista"/>
    <n v="77"/>
    <n v="16700"/>
    <n v="1285900"/>
    <n v="10020"/>
    <n v="771540"/>
    <n v="514360"/>
    <n v="0.4"/>
  </r>
  <r>
    <s v="V-0218"/>
    <d v="2026-08-29T00:00:00"/>
    <x v="1"/>
    <x v="1"/>
    <x v="1"/>
    <x v="4"/>
    <s v="Pala Sanitaria"/>
    <s v="Distribuidor"/>
    <n v="50"/>
    <n v="3600"/>
    <n v="180000"/>
    <n v="1980.0000000000002"/>
    <n v="99000.000000000015"/>
    <n v="80999.999999999985"/>
    <n v="0.4499999999999999"/>
  </r>
  <r>
    <s v="V-0219"/>
    <d v="2026-03-29T00:00:00"/>
    <x v="3"/>
    <x v="2"/>
    <x v="2"/>
    <x v="4"/>
    <s v="Cepillo Mascotas"/>
    <s v="Distribuidor"/>
    <n v="34"/>
    <n v="7800"/>
    <n v="265200"/>
    <n v="4290"/>
    <n v="145860"/>
    <n v="119340"/>
    <n v="0.45"/>
  </r>
  <r>
    <s v="V-0220"/>
    <d v="2026-01-30T00:00:00"/>
    <x v="4"/>
    <x v="3"/>
    <x v="0"/>
    <x v="1"/>
    <s v="Cama Rectangular M"/>
    <s v="Mayorista"/>
    <n v="33"/>
    <n v="19200"/>
    <n v="633600"/>
    <n v="13056.000000000002"/>
    <n v="430848.00000000006"/>
    <n v="202751.99999999994"/>
    <n v="0.3199999999999999"/>
  </r>
  <r>
    <s v="V-0221"/>
    <d v="2026-08-22T00:00:00"/>
    <x v="1"/>
    <x v="5"/>
    <x v="0"/>
    <x v="4"/>
    <s v="Rodillo Quitapelos"/>
    <s v="Distribuidor"/>
    <n v="44"/>
    <n v="6000"/>
    <n v="264000"/>
    <n v="3300.0000000000005"/>
    <n v="145200.00000000003"/>
    <n v="118799.99999999997"/>
    <n v="0.4499999999999999"/>
  </r>
  <r>
    <s v="V-0222"/>
    <d v="2026-05-31T00:00:00"/>
    <x v="2"/>
    <x v="4"/>
    <x v="1"/>
    <x v="3"/>
    <s v="Transportadora M"/>
    <s v="Distribuidor"/>
    <n v="15"/>
    <n v="35100"/>
    <n v="526500"/>
    <n v="25272"/>
    <n v="379080"/>
    <n v="147420"/>
    <n v="0.28000000000000003"/>
  </r>
  <r>
    <s v="V-0223"/>
    <d v="2026-08-01T00:00:00"/>
    <x v="1"/>
    <x v="4"/>
    <x v="0"/>
    <x v="0"/>
    <s v="Comedero Antideslizante"/>
    <s v="Distribuidor"/>
    <n v="32"/>
    <n v="8300"/>
    <n v="265600"/>
    <n v="4980"/>
    <n v="159360"/>
    <n v="106240"/>
    <n v="0.4"/>
  </r>
  <r>
    <s v="V-0224"/>
    <d v="2026-07-25T00:00:00"/>
    <x v="7"/>
    <x v="3"/>
    <x v="0"/>
    <x v="2"/>
    <s v="Juguete Interactivo"/>
    <s v="Mayorista"/>
    <n v="27"/>
    <n v="9600"/>
    <n v="259200"/>
    <n v="5952"/>
    <n v="160704"/>
    <n v="98496"/>
    <n v="0.38"/>
  </r>
  <r>
    <s v="V-0225"/>
    <d v="2026-06-24T00:00:00"/>
    <x v="5"/>
    <x v="1"/>
    <x v="1"/>
    <x v="3"/>
    <s v="Transportadora L"/>
    <s v="Distribuidor"/>
    <n v="14"/>
    <n v="49000"/>
    <n v="686000"/>
    <n v="35280"/>
    <n v="493920"/>
    <n v="192080"/>
    <n v="0.28000000000000003"/>
  </r>
  <r>
    <s v="V-0226"/>
    <d v="2026-02-24T00:00:00"/>
    <x v="0"/>
    <x v="0"/>
    <x v="4"/>
    <x v="1"/>
    <s v="Cama Rectangular S"/>
    <s v="Distribuidor"/>
    <n v="28"/>
    <n v="15400"/>
    <n v="431200"/>
    <n v="10472"/>
    <n v="293216"/>
    <n v="137984"/>
    <n v="0.32"/>
  </r>
  <r>
    <s v="V-0227"/>
    <d v="2026-07-06T00:00:00"/>
    <x v="7"/>
    <x v="0"/>
    <x v="0"/>
    <x v="1"/>
    <s v="Cama Rectangular M"/>
    <s v="Mayorista"/>
    <n v="45"/>
    <n v="19500"/>
    <n v="877500"/>
    <n v="13260.000000000002"/>
    <n v="596700.00000000012"/>
    <n v="280799.99999999988"/>
    <n v="0.31999999999999984"/>
  </r>
  <r>
    <s v="V-0228"/>
    <d v="2026-08-11T00:00:00"/>
    <x v="1"/>
    <x v="2"/>
    <x v="3"/>
    <x v="1"/>
    <s v="Cama Rectangular L"/>
    <s v="Distribuidor"/>
    <n v="43"/>
    <n v="26600"/>
    <n v="1143800"/>
    <n v="18088"/>
    <n v="777784"/>
    <n v="366016"/>
    <n v="0.32"/>
  </r>
  <r>
    <s v="V-0229"/>
    <d v="2026-08-14T00:00:00"/>
    <x v="1"/>
    <x v="5"/>
    <x v="3"/>
    <x v="3"/>
    <s v="Transportadora M"/>
    <s v="Mayorista"/>
    <n v="72"/>
    <n v="35300"/>
    <n v="2541600"/>
    <n v="25416"/>
    <n v="1829952"/>
    <n v="711648"/>
    <n v="0.28000000000000003"/>
  </r>
  <r>
    <s v="V-0230"/>
    <d v="2026-07-21T00:00:00"/>
    <x v="7"/>
    <x v="5"/>
    <x v="3"/>
    <x v="0"/>
    <s v="Comedero Antideslizante"/>
    <s v="Mayorista"/>
    <n v="33"/>
    <n v="7900"/>
    <n v="260700"/>
    <n v="4740"/>
    <n v="156420"/>
    <n v="104280"/>
    <n v="0.4"/>
  </r>
  <r>
    <s v="V-0231"/>
    <d v="2026-01-30T00:00:00"/>
    <x v="4"/>
    <x v="0"/>
    <x v="0"/>
    <x v="1"/>
    <s v="Cama Rectangular M"/>
    <s v="Distribuidor"/>
    <n v="36"/>
    <n v="20800"/>
    <n v="748800"/>
    <n v="14144.000000000002"/>
    <n v="509184.00000000006"/>
    <n v="239615.99999999994"/>
    <n v="0.3199999999999999"/>
  </r>
  <r>
    <s v="V-0232"/>
    <d v="2026-08-20T00:00:00"/>
    <x v="1"/>
    <x v="0"/>
    <x v="2"/>
    <x v="2"/>
    <s v="Pelota Goma"/>
    <s v="Retail"/>
    <n v="24"/>
    <n v="3100"/>
    <n v="74400"/>
    <n v="1922"/>
    <n v="46128"/>
    <n v="28272"/>
    <n v="0.38"/>
  </r>
  <r>
    <s v="V-0233"/>
    <d v="2026-01-25T00:00:00"/>
    <x v="4"/>
    <x v="0"/>
    <x v="4"/>
    <x v="2"/>
    <s v="Soga Nudos"/>
    <s v="Retail"/>
    <n v="37"/>
    <n v="4500"/>
    <n v="166500"/>
    <n v="2790"/>
    <n v="103230"/>
    <n v="63270"/>
    <n v="0.38"/>
  </r>
  <r>
    <s v="V-0234"/>
    <d v="2026-06-18T00:00:00"/>
    <x v="5"/>
    <x v="3"/>
    <x v="4"/>
    <x v="0"/>
    <s v="Comedero Doble"/>
    <s v="Distribuidor"/>
    <n v="48"/>
    <n v="6500"/>
    <n v="312000"/>
    <n v="3900"/>
    <n v="187200"/>
    <n v="124800"/>
    <n v="0.4"/>
  </r>
  <r>
    <s v="V-0235"/>
    <d v="2026-03-24T00:00:00"/>
    <x v="3"/>
    <x v="4"/>
    <x v="0"/>
    <x v="4"/>
    <s v="Bandeja Sanitaria"/>
    <s v="Distribuidor"/>
    <n v="21"/>
    <n v="13000"/>
    <n v="273000"/>
    <n v="7150.0000000000009"/>
    <n v="150150.00000000003"/>
    <n v="122849.99999999997"/>
    <n v="0.4499999999999999"/>
  </r>
  <r>
    <s v="V-0236"/>
    <d v="2026-07-06T00:00:00"/>
    <x v="7"/>
    <x v="3"/>
    <x v="0"/>
    <x v="0"/>
    <s v="Comedero Antideslizante"/>
    <s v="Retail"/>
    <n v="52"/>
    <n v="8100"/>
    <n v="421200"/>
    <n v="4860"/>
    <n v="252720"/>
    <n v="168480"/>
    <n v="0.4"/>
  </r>
  <r>
    <s v="V-0237"/>
    <d v="2026-02-08T00:00:00"/>
    <x v="0"/>
    <x v="4"/>
    <x v="4"/>
    <x v="3"/>
    <s v="Transportadora M"/>
    <s v="Distribuidor"/>
    <n v="5"/>
    <n v="36400"/>
    <n v="182000"/>
    <n v="26208"/>
    <n v="131040"/>
    <n v="50960"/>
    <n v="0.28000000000000003"/>
  </r>
  <r>
    <s v="V-0238"/>
    <d v="2026-08-21T00:00:00"/>
    <x v="1"/>
    <x v="5"/>
    <x v="1"/>
    <x v="3"/>
    <s v="Transportadora S"/>
    <s v="Distribuidor"/>
    <n v="15"/>
    <n v="28300"/>
    <n v="424500"/>
    <n v="20376"/>
    <n v="305640"/>
    <n v="118860"/>
    <n v="0.28000000000000003"/>
  </r>
  <r>
    <s v="V-0239"/>
    <d v="2026-07-06T00:00:00"/>
    <x v="7"/>
    <x v="2"/>
    <x v="3"/>
    <x v="4"/>
    <s v="Pala Sanitaria"/>
    <s v="Distribuidor"/>
    <n v="8"/>
    <n v="3600"/>
    <n v="28800"/>
    <n v="1980.0000000000002"/>
    <n v="15840.000000000002"/>
    <n v="12959.999999999998"/>
    <n v="0.44999999999999996"/>
  </r>
  <r>
    <s v="V-0240"/>
    <d v="2026-08-12T00:00:00"/>
    <x v="1"/>
    <x v="0"/>
    <x v="0"/>
    <x v="0"/>
    <s v="Comedero Antideslizante"/>
    <s v="Distribuidor"/>
    <n v="18"/>
    <n v="8000"/>
    <n v="144000"/>
    <n v="4800"/>
    <n v="86400"/>
    <n v="57600"/>
    <n v="0.4"/>
  </r>
  <r>
    <s v="V-0241"/>
    <d v="2026-05-01T00:00:00"/>
    <x v="2"/>
    <x v="4"/>
    <x v="2"/>
    <x v="4"/>
    <s v="Cepillo Mascotas"/>
    <s v="Distribuidor"/>
    <n v="21"/>
    <n v="8000"/>
    <n v="168000"/>
    <n v="4400"/>
    <n v="92400"/>
    <n v="75600"/>
    <n v="0.45"/>
  </r>
  <r>
    <s v="V-0242"/>
    <d v="2026-07-13T00:00:00"/>
    <x v="7"/>
    <x v="4"/>
    <x v="3"/>
    <x v="1"/>
    <s v="Cama Rectangular M"/>
    <s v="Retail"/>
    <n v="31"/>
    <n v="19900"/>
    <n v="616900"/>
    <n v="13532.000000000002"/>
    <n v="419492.00000000006"/>
    <n v="197407.99999999994"/>
    <n v="0.3199999999999999"/>
  </r>
  <r>
    <s v="V-0243"/>
    <d v="2026-05-26T00:00:00"/>
    <x v="2"/>
    <x v="0"/>
    <x v="0"/>
    <x v="0"/>
    <s v="Comedero Antideslizante"/>
    <s v="Retail"/>
    <n v="24"/>
    <n v="7800"/>
    <n v="187200"/>
    <n v="4680"/>
    <n v="112320"/>
    <n v="74880"/>
    <n v="0.4"/>
  </r>
  <r>
    <s v="V-0244"/>
    <d v="2026-02-15T00:00:00"/>
    <x v="0"/>
    <x v="1"/>
    <x v="2"/>
    <x v="3"/>
    <s v="Transportadora M"/>
    <s v="Distribuidor"/>
    <n v="8"/>
    <n v="39200"/>
    <n v="313600"/>
    <n v="28224"/>
    <n v="225792"/>
    <n v="87808"/>
    <n v="0.28000000000000003"/>
  </r>
  <r>
    <s v="V-0245"/>
    <d v="2026-02-08T00:00:00"/>
    <x v="0"/>
    <x v="5"/>
    <x v="2"/>
    <x v="0"/>
    <s v="Comedero Simple"/>
    <s v="Mayorista"/>
    <n v="58"/>
    <n v="3900"/>
    <n v="226200"/>
    <n v="2340"/>
    <n v="135720"/>
    <n v="90480"/>
    <n v="0.4"/>
  </r>
  <r>
    <s v="V-0246"/>
    <d v="2026-04-29T00:00:00"/>
    <x v="6"/>
    <x v="4"/>
    <x v="0"/>
    <x v="1"/>
    <s v="Cama Rectangular M"/>
    <s v="Distribuidor"/>
    <n v="30"/>
    <n v="19600"/>
    <n v="588000"/>
    <n v="13328.000000000002"/>
    <n v="399840.00000000006"/>
    <n v="188159.99999999994"/>
    <n v="0.3199999999999999"/>
  </r>
  <r>
    <s v="V-0247"/>
    <d v="2026-03-23T00:00:00"/>
    <x v="3"/>
    <x v="2"/>
    <x v="3"/>
    <x v="2"/>
    <s v="Juguete Interactivo"/>
    <s v="Retail"/>
    <n v="27"/>
    <n v="10400"/>
    <n v="280800"/>
    <n v="6448"/>
    <n v="174096"/>
    <n v="106704"/>
    <n v="0.38"/>
  </r>
  <r>
    <s v="V-0248"/>
    <d v="2026-04-22T00:00:00"/>
    <x v="6"/>
    <x v="4"/>
    <x v="3"/>
    <x v="1"/>
    <s v="Cama Cueva"/>
    <s v="Distribuidor"/>
    <n v="44"/>
    <n v="23600"/>
    <n v="1038400"/>
    <n v="16048.000000000002"/>
    <n v="706112.00000000012"/>
    <n v="332287.99999999988"/>
    <n v="0.3199999999999999"/>
  </r>
  <r>
    <s v="V-0249"/>
    <d v="2026-04-02T00:00:00"/>
    <x v="6"/>
    <x v="0"/>
    <x v="2"/>
    <x v="1"/>
    <s v="Cama Rectangular M"/>
    <s v="Retail"/>
    <n v="36"/>
    <n v="18900"/>
    <n v="680400"/>
    <n v="12852.000000000002"/>
    <n v="462672.00000000006"/>
    <n v="217727.99999999994"/>
    <n v="0.3199999999999999"/>
  </r>
  <r>
    <s v="V-0250"/>
    <d v="2026-05-25T00:00:00"/>
    <x v="2"/>
    <x v="0"/>
    <x v="1"/>
    <x v="2"/>
    <s v="Pelota Goma"/>
    <s v="Distribuidor"/>
    <n v="12"/>
    <n v="3100"/>
    <n v="37200"/>
    <n v="1922"/>
    <n v="23064"/>
    <n v="14136"/>
    <n v="0.38"/>
  </r>
  <r>
    <s v="V-0251"/>
    <d v="2026-02-16T00:00:00"/>
    <x v="0"/>
    <x v="3"/>
    <x v="4"/>
    <x v="2"/>
    <s v="Mordillo Dental"/>
    <s v="Retail"/>
    <n v="28"/>
    <n v="5300"/>
    <n v="148400"/>
    <n v="3286"/>
    <n v="92008"/>
    <n v="56392"/>
    <n v="0.38"/>
  </r>
  <r>
    <s v="V-0252"/>
    <d v="2026-01-07T00:00:00"/>
    <x v="4"/>
    <x v="3"/>
    <x v="4"/>
    <x v="1"/>
    <s v="Cama Cueva"/>
    <s v="Retail"/>
    <n v="30"/>
    <n v="22800"/>
    <n v="684000"/>
    <n v="15504.000000000002"/>
    <n v="465120.00000000006"/>
    <n v="218879.99999999994"/>
    <n v="0.3199999999999999"/>
  </r>
  <r>
    <s v="V-0253"/>
    <d v="2026-07-23T00:00:00"/>
    <x v="7"/>
    <x v="2"/>
    <x v="2"/>
    <x v="3"/>
    <s v="Transportadora S"/>
    <s v="Mayorista"/>
    <n v="51"/>
    <n v="29400"/>
    <n v="1499400"/>
    <n v="21168"/>
    <n v="1079568"/>
    <n v="419832"/>
    <n v="0.28000000000000003"/>
  </r>
  <r>
    <s v="V-0254"/>
    <d v="2026-07-28T00:00:00"/>
    <x v="7"/>
    <x v="5"/>
    <x v="3"/>
    <x v="0"/>
    <s v="Comedero Antideslizante"/>
    <s v="Distribuidor"/>
    <n v="20"/>
    <n v="8300"/>
    <n v="166000"/>
    <n v="4980"/>
    <n v="99600"/>
    <n v="66400"/>
    <n v="0.4"/>
  </r>
  <r>
    <s v="V-0255"/>
    <d v="2026-07-12T00:00:00"/>
    <x v="7"/>
    <x v="0"/>
    <x v="1"/>
    <x v="3"/>
    <s v="Transportadora M"/>
    <s v="Mayorista"/>
    <n v="41"/>
    <n v="37400"/>
    <n v="1533400"/>
    <n v="26928"/>
    <n v="1104048"/>
    <n v="429352"/>
    <n v="0.28000000000000003"/>
  </r>
  <r>
    <s v="V-0256"/>
    <d v="2026-03-18T00:00:00"/>
    <x v="3"/>
    <x v="2"/>
    <x v="1"/>
    <x v="4"/>
    <s v="Bandeja Sanitaria"/>
    <s v="Distribuidor"/>
    <n v="7"/>
    <n v="14200"/>
    <n v="99400"/>
    <n v="7810.0000000000009"/>
    <n v="54670.000000000007"/>
    <n v="44729.999999999993"/>
    <n v="0.4499999999999999"/>
  </r>
  <r>
    <s v="V-0257"/>
    <d v="2026-07-07T00:00:00"/>
    <x v="7"/>
    <x v="3"/>
    <x v="4"/>
    <x v="3"/>
    <s v="Transportadora S"/>
    <s v="Retail"/>
    <n v="34"/>
    <n v="27600"/>
    <n v="938400"/>
    <n v="19872"/>
    <n v="675648"/>
    <n v="262752"/>
    <n v="0.28000000000000003"/>
  </r>
  <r>
    <s v="V-0258"/>
    <d v="2026-04-16T00:00:00"/>
    <x v="6"/>
    <x v="1"/>
    <x v="3"/>
    <x v="0"/>
    <s v="Bebedero Automático"/>
    <s v="Retail"/>
    <n v="47"/>
    <n v="15900"/>
    <n v="747300"/>
    <n v="9540"/>
    <n v="448380"/>
    <n v="298920"/>
    <n v="0.4"/>
  </r>
  <r>
    <s v="V-0259"/>
    <d v="2026-02-17T00:00:00"/>
    <x v="0"/>
    <x v="1"/>
    <x v="0"/>
    <x v="0"/>
    <s v="Comedero Antideslizante"/>
    <s v="Distribuidor"/>
    <n v="50"/>
    <n v="7800"/>
    <n v="390000"/>
    <n v="4680"/>
    <n v="234000"/>
    <n v="156000"/>
    <n v="0.4"/>
  </r>
  <r>
    <s v="V-0260"/>
    <d v="2026-02-13T00:00:00"/>
    <x v="0"/>
    <x v="1"/>
    <x v="4"/>
    <x v="2"/>
    <s v="Pelota Goma"/>
    <s v="Distribuidor"/>
    <n v="50"/>
    <n v="3100"/>
    <n v="155000"/>
    <n v="1922"/>
    <n v="96100"/>
    <n v="58900"/>
    <n v="0.38"/>
  </r>
  <r>
    <s v="V-0261"/>
    <d v="2026-06-04T00:00:00"/>
    <x v="5"/>
    <x v="5"/>
    <x v="0"/>
    <x v="4"/>
    <s v="Cepillo Mascotas"/>
    <s v="Mayorista"/>
    <n v="59"/>
    <n v="7900"/>
    <n v="466100"/>
    <n v="4345"/>
    <n v="256355"/>
    <n v="209745"/>
    <n v="0.45"/>
  </r>
  <r>
    <s v="V-0262"/>
    <d v="2026-01-27T00:00:00"/>
    <x v="4"/>
    <x v="1"/>
    <x v="2"/>
    <x v="0"/>
    <s v="Comedero Doble"/>
    <s v="Distribuidor"/>
    <n v="35"/>
    <n v="6100"/>
    <n v="213500"/>
    <n v="3660"/>
    <n v="128100"/>
    <n v="85400"/>
    <n v="0.4"/>
  </r>
  <r>
    <s v="V-0263"/>
    <d v="2026-01-17T00:00:00"/>
    <x v="4"/>
    <x v="0"/>
    <x v="2"/>
    <x v="1"/>
    <s v="Cama Cueva"/>
    <s v="Distribuidor"/>
    <n v="45"/>
    <n v="21700"/>
    <n v="976500"/>
    <n v="14756.000000000002"/>
    <n v="664020.00000000012"/>
    <n v="312479.99999999988"/>
    <n v="0.3199999999999999"/>
  </r>
  <r>
    <s v="V-0264"/>
    <d v="2026-04-04T00:00:00"/>
    <x v="6"/>
    <x v="0"/>
    <x v="0"/>
    <x v="2"/>
    <s v="Juguete Interactivo"/>
    <s v="Distribuidor"/>
    <n v="5"/>
    <n v="10500"/>
    <n v="52500"/>
    <n v="6510"/>
    <n v="32550"/>
    <n v="19950"/>
    <n v="0.38"/>
  </r>
  <r>
    <s v="V-0265"/>
    <d v="2026-03-21T00:00:00"/>
    <x v="3"/>
    <x v="1"/>
    <x v="2"/>
    <x v="2"/>
    <s v="Soga Nudos"/>
    <s v="Mayorista"/>
    <n v="47"/>
    <n v="4200"/>
    <n v="197400"/>
    <n v="2604"/>
    <n v="122388"/>
    <n v="75012"/>
    <n v="0.38"/>
  </r>
  <r>
    <s v="V-0266"/>
    <d v="2026-03-28T00:00:00"/>
    <x v="3"/>
    <x v="0"/>
    <x v="2"/>
    <x v="4"/>
    <s v="Pala Sanitaria"/>
    <s v="Distribuidor"/>
    <n v="24"/>
    <n v="3500"/>
    <n v="84000"/>
    <n v="1925.0000000000002"/>
    <n v="46200.000000000007"/>
    <n v="37799.999999999993"/>
    <n v="0.4499999999999999"/>
  </r>
  <r>
    <s v="V-0267"/>
    <d v="2026-03-06T00:00:00"/>
    <x v="3"/>
    <x v="4"/>
    <x v="0"/>
    <x v="0"/>
    <s v="Comedero Simple"/>
    <s v="Distribuidor"/>
    <n v="15"/>
    <n v="3900"/>
    <n v="58500"/>
    <n v="2340"/>
    <n v="35100"/>
    <n v="23400"/>
    <n v="0.4"/>
  </r>
  <r>
    <s v="V-0268"/>
    <d v="2026-06-28T00:00:00"/>
    <x v="5"/>
    <x v="1"/>
    <x v="2"/>
    <x v="0"/>
    <s v="Comedero Simple"/>
    <s v="Distribuidor"/>
    <n v="26"/>
    <n v="3700"/>
    <n v="96200"/>
    <n v="2220"/>
    <n v="57720"/>
    <n v="38480"/>
    <n v="0.4"/>
  </r>
  <r>
    <s v="V-0269"/>
    <d v="2026-02-05T00:00:00"/>
    <x v="0"/>
    <x v="3"/>
    <x v="0"/>
    <x v="0"/>
    <s v="Comedero Simple"/>
    <s v="Mayorista"/>
    <n v="53"/>
    <n v="4000"/>
    <n v="212000"/>
    <n v="2400"/>
    <n v="127200"/>
    <n v="84800"/>
    <n v="0.4"/>
  </r>
  <r>
    <s v="V-0270"/>
    <d v="2026-04-17T00:00:00"/>
    <x v="6"/>
    <x v="4"/>
    <x v="1"/>
    <x v="3"/>
    <s v="Transportadora S"/>
    <s v="Mayorista"/>
    <n v="39"/>
    <n v="29200"/>
    <n v="1138800"/>
    <n v="21024"/>
    <n v="819936"/>
    <n v="318864"/>
    <n v="0.28000000000000003"/>
  </r>
  <r>
    <s v="V-0271"/>
    <d v="2026-02-25T00:00:00"/>
    <x v="0"/>
    <x v="3"/>
    <x v="2"/>
    <x v="3"/>
    <s v="Transportadora S"/>
    <s v="Retail"/>
    <n v="8"/>
    <n v="30700"/>
    <n v="245600"/>
    <n v="22104"/>
    <n v="176832"/>
    <n v="68768"/>
    <n v="0.28000000000000003"/>
  </r>
  <r>
    <s v="V-0272"/>
    <d v="2026-04-20T00:00:00"/>
    <x v="6"/>
    <x v="3"/>
    <x v="2"/>
    <x v="4"/>
    <s v="Bandeja Sanitaria"/>
    <s v="Distribuidor"/>
    <n v="28"/>
    <n v="13400"/>
    <n v="375200"/>
    <n v="7370.0000000000009"/>
    <n v="206360.00000000003"/>
    <n v="168839.99999999997"/>
    <n v="0.4499999999999999"/>
  </r>
  <r>
    <s v="V-0273"/>
    <d v="2026-06-28T00:00:00"/>
    <x v="5"/>
    <x v="3"/>
    <x v="2"/>
    <x v="4"/>
    <s v="Pala Sanitaria"/>
    <s v="Retail"/>
    <n v="38"/>
    <n v="3500"/>
    <n v="133000"/>
    <n v="1925.0000000000002"/>
    <n v="73150.000000000015"/>
    <n v="59849.999999999985"/>
    <n v="0.4499999999999999"/>
  </r>
  <r>
    <s v="V-0274"/>
    <d v="2026-07-04T00:00:00"/>
    <x v="7"/>
    <x v="3"/>
    <x v="4"/>
    <x v="1"/>
    <s v="Cama Rectangular S"/>
    <s v="Retail"/>
    <n v="20"/>
    <n v="15300"/>
    <n v="306000"/>
    <n v="10404"/>
    <n v="208080"/>
    <n v="97920"/>
    <n v="0.32"/>
  </r>
  <r>
    <s v="V-0275"/>
    <d v="2026-03-11T00:00:00"/>
    <x v="3"/>
    <x v="2"/>
    <x v="4"/>
    <x v="2"/>
    <s v="Pelota Goma"/>
    <s v="Distribuidor"/>
    <n v="18"/>
    <n v="3000"/>
    <n v="54000"/>
    <n v="1860"/>
    <n v="33480"/>
    <n v="20520"/>
    <n v="0.38"/>
  </r>
  <r>
    <s v="V-0276"/>
    <d v="2026-06-10T00:00:00"/>
    <x v="5"/>
    <x v="4"/>
    <x v="3"/>
    <x v="1"/>
    <s v="Cama Cueva"/>
    <s v="Retail"/>
    <n v="27"/>
    <n v="23500"/>
    <n v="634500"/>
    <n v="15980.000000000002"/>
    <n v="431460.00000000006"/>
    <n v="203039.99999999994"/>
    <n v="0.3199999999999999"/>
  </r>
  <r>
    <s v="V-0277"/>
    <d v="2026-06-25T00:00:00"/>
    <x v="5"/>
    <x v="1"/>
    <x v="4"/>
    <x v="1"/>
    <s v="Cama Rectangular S"/>
    <s v="Mayorista"/>
    <n v="33"/>
    <n v="15000"/>
    <n v="495000"/>
    <n v="10200"/>
    <n v="336600"/>
    <n v="158400"/>
    <n v="0.32"/>
  </r>
  <r>
    <s v="V-0278"/>
    <d v="2026-07-21T00:00:00"/>
    <x v="7"/>
    <x v="4"/>
    <x v="0"/>
    <x v="4"/>
    <s v="Pala Sanitaria"/>
    <s v="Retail"/>
    <n v="18"/>
    <n v="3600"/>
    <n v="64800"/>
    <n v="1980.0000000000002"/>
    <n v="35640.000000000007"/>
    <n v="29159.999999999993"/>
    <n v="0.4499999999999999"/>
  </r>
  <r>
    <s v="V-0279"/>
    <d v="2026-02-01T00:00:00"/>
    <x v="0"/>
    <x v="2"/>
    <x v="3"/>
    <x v="4"/>
    <s v="Bandeja Sanitaria"/>
    <s v="Retail"/>
    <n v="17"/>
    <n v="13500"/>
    <n v="229500"/>
    <n v="7425.0000000000009"/>
    <n v="126225.00000000001"/>
    <n v="103274.99999999999"/>
    <n v="0.44999999999999996"/>
  </r>
  <r>
    <s v="V-0280"/>
    <d v="2026-05-20T00:00:00"/>
    <x v="2"/>
    <x v="1"/>
    <x v="1"/>
    <x v="4"/>
    <s v="Bandeja Sanitaria"/>
    <s v="Retail"/>
    <n v="22"/>
    <n v="13200"/>
    <n v="290400"/>
    <n v="7260.0000000000009"/>
    <n v="159720.00000000003"/>
    <n v="130679.99999999997"/>
    <n v="0.4499999999999999"/>
  </r>
  <r>
    <s v="V-0281"/>
    <d v="2026-01-09T00:00:00"/>
    <x v="4"/>
    <x v="2"/>
    <x v="0"/>
    <x v="3"/>
    <s v="Transportadora L"/>
    <s v="Retail"/>
    <n v="50"/>
    <n v="46700"/>
    <n v="2335000"/>
    <n v="33624"/>
    <n v="1681200"/>
    <n v="653800"/>
    <n v="0.28000000000000003"/>
  </r>
  <r>
    <s v="V-0282"/>
    <d v="2026-04-10T00:00:00"/>
    <x v="6"/>
    <x v="0"/>
    <x v="3"/>
    <x v="4"/>
    <s v="Pala Sanitaria"/>
    <s v="Retail"/>
    <n v="14"/>
    <n v="3300"/>
    <n v="46200"/>
    <n v="1815.0000000000002"/>
    <n v="25410.000000000004"/>
    <n v="20789.999999999996"/>
    <n v="0.4499999999999999"/>
  </r>
  <r>
    <s v="V-0283"/>
    <d v="2026-05-27T00:00:00"/>
    <x v="2"/>
    <x v="1"/>
    <x v="2"/>
    <x v="2"/>
    <s v="Pelota Goma"/>
    <s v="Distribuidor"/>
    <n v="10"/>
    <n v="2900"/>
    <n v="29000"/>
    <n v="1798"/>
    <n v="17980"/>
    <n v="11020"/>
    <n v="0.38"/>
  </r>
  <r>
    <s v="V-0284"/>
    <d v="2026-07-13T00:00:00"/>
    <x v="7"/>
    <x v="3"/>
    <x v="2"/>
    <x v="0"/>
    <s v="Comedero Simple"/>
    <s v="Mayorista"/>
    <n v="53"/>
    <n v="3700"/>
    <n v="196100"/>
    <n v="2220"/>
    <n v="117660"/>
    <n v="78440"/>
    <n v="0.4"/>
  </r>
  <r>
    <s v="V-0285"/>
    <d v="2026-05-16T00:00:00"/>
    <x v="2"/>
    <x v="3"/>
    <x v="4"/>
    <x v="0"/>
    <s v="Comedero Antideslizante"/>
    <s v="Distribuidor"/>
    <n v="13"/>
    <n v="7700"/>
    <n v="100100"/>
    <n v="4620"/>
    <n v="60060"/>
    <n v="40040"/>
    <n v="0.4"/>
  </r>
  <r>
    <s v="V-0286"/>
    <d v="2026-06-22T00:00:00"/>
    <x v="5"/>
    <x v="5"/>
    <x v="0"/>
    <x v="0"/>
    <s v="Bebedero Automático"/>
    <s v="Distribuidor"/>
    <n v="34"/>
    <n v="16000"/>
    <n v="544000"/>
    <n v="9600"/>
    <n v="326400"/>
    <n v="217600"/>
    <n v="0.4"/>
  </r>
  <r>
    <s v="V-0287"/>
    <d v="2026-03-04T00:00:00"/>
    <x v="3"/>
    <x v="0"/>
    <x v="0"/>
    <x v="0"/>
    <s v="Comedero Doble"/>
    <s v="Mayorista"/>
    <n v="53"/>
    <n v="6000"/>
    <n v="318000"/>
    <n v="3600"/>
    <n v="190800"/>
    <n v="127200"/>
    <n v="0.4"/>
  </r>
  <r>
    <s v="V-0288"/>
    <d v="2026-07-24T00:00:00"/>
    <x v="7"/>
    <x v="5"/>
    <x v="3"/>
    <x v="1"/>
    <s v="Cama Cueva"/>
    <s v="Distribuidor"/>
    <n v="15"/>
    <n v="23600"/>
    <n v="354000"/>
    <n v="16048.000000000002"/>
    <n v="240720.00000000003"/>
    <n v="113279.99999999997"/>
    <n v="0.3199999999999999"/>
  </r>
  <r>
    <s v="V-0289"/>
    <d v="2026-06-04T00:00:00"/>
    <x v="5"/>
    <x v="1"/>
    <x v="4"/>
    <x v="3"/>
    <s v="Transportadora L"/>
    <s v="Distribuidor"/>
    <n v="24"/>
    <n v="50300"/>
    <n v="1207200"/>
    <n v="36216"/>
    <n v="869184"/>
    <n v="338016"/>
    <n v="0.28000000000000003"/>
  </r>
  <r>
    <s v="V-0290"/>
    <d v="2026-08-07T00:00:00"/>
    <x v="1"/>
    <x v="4"/>
    <x v="1"/>
    <x v="0"/>
    <s v="Bebedero Automático"/>
    <s v="Retail"/>
    <n v="50"/>
    <n v="16900"/>
    <n v="845000"/>
    <n v="10140"/>
    <n v="507000"/>
    <n v="338000"/>
    <n v="0.4"/>
  </r>
  <r>
    <s v="V-0291"/>
    <d v="2026-07-22T00:00:00"/>
    <x v="7"/>
    <x v="2"/>
    <x v="2"/>
    <x v="1"/>
    <s v="Cama Cueva"/>
    <s v="Retail"/>
    <n v="33"/>
    <n v="23100"/>
    <n v="762300"/>
    <n v="15708.000000000002"/>
    <n v="518364.00000000006"/>
    <n v="243935.99999999994"/>
    <n v="0.31999999999999995"/>
  </r>
  <r>
    <s v="V-0292"/>
    <d v="2026-03-21T00:00:00"/>
    <x v="3"/>
    <x v="4"/>
    <x v="0"/>
    <x v="0"/>
    <s v="Comedero Antideslizante"/>
    <s v="Distribuidor"/>
    <n v="9"/>
    <n v="7800"/>
    <n v="70200"/>
    <n v="4680"/>
    <n v="42120"/>
    <n v="28080"/>
    <n v="0.4"/>
  </r>
  <r>
    <s v="V-0293"/>
    <d v="2026-02-14T00:00:00"/>
    <x v="0"/>
    <x v="3"/>
    <x v="0"/>
    <x v="0"/>
    <s v="Comedero Antideslizante"/>
    <s v="Retail"/>
    <n v="44"/>
    <n v="8400"/>
    <n v="369600"/>
    <n v="5040"/>
    <n v="221760"/>
    <n v="147840"/>
    <n v="0.4"/>
  </r>
  <r>
    <s v="V-0294"/>
    <d v="2026-01-20T00:00:00"/>
    <x v="4"/>
    <x v="3"/>
    <x v="1"/>
    <x v="2"/>
    <s v="Mordillo Dental"/>
    <s v="Retail"/>
    <n v="12"/>
    <n v="5300"/>
    <n v="63600"/>
    <n v="3286"/>
    <n v="39432"/>
    <n v="24168"/>
    <n v="0.38"/>
  </r>
  <r>
    <s v="V-0295"/>
    <d v="2026-07-30T00:00:00"/>
    <x v="7"/>
    <x v="1"/>
    <x v="1"/>
    <x v="4"/>
    <s v="Pala Sanitaria"/>
    <s v="Distribuidor"/>
    <n v="13"/>
    <n v="3500"/>
    <n v="45500"/>
    <n v="1925.0000000000002"/>
    <n v="25025.000000000004"/>
    <n v="20474.999999999996"/>
    <n v="0.4499999999999999"/>
  </r>
  <r>
    <s v="V-0296"/>
    <d v="2026-01-17T00:00:00"/>
    <x v="4"/>
    <x v="5"/>
    <x v="1"/>
    <x v="0"/>
    <s v="Bebedero Automático"/>
    <s v="Mayorista"/>
    <n v="54"/>
    <n v="15300"/>
    <n v="826200"/>
    <n v="9180"/>
    <n v="495720"/>
    <n v="330480"/>
    <n v="0.4"/>
  </r>
  <r>
    <s v="V-0297"/>
    <d v="2026-03-20T00:00:00"/>
    <x v="3"/>
    <x v="0"/>
    <x v="2"/>
    <x v="1"/>
    <s v="Cama Rectangular S"/>
    <s v="Distribuidor"/>
    <n v="13"/>
    <n v="15200"/>
    <n v="197600"/>
    <n v="10336"/>
    <n v="134368"/>
    <n v="63232"/>
    <n v="0.32"/>
  </r>
  <r>
    <s v="V-0298"/>
    <d v="2026-01-07T00:00:00"/>
    <x v="4"/>
    <x v="4"/>
    <x v="0"/>
    <x v="2"/>
    <s v="Mordillo Dental"/>
    <s v="Distribuidor"/>
    <n v="6"/>
    <n v="5500"/>
    <n v="33000"/>
    <n v="3410"/>
    <n v="20460"/>
    <n v="12540"/>
    <n v="0.38"/>
  </r>
  <r>
    <s v="V-0299"/>
    <d v="2026-03-19T00:00:00"/>
    <x v="3"/>
    <x v="3"/>
    <x v="1"/>
    <x v="2"/>
    <s v="Pelota Goma"/>
    <s v="Distribuidor"/>
    <n v="18"/>
    <n v="2800"/>
    <n v="50400"/>
    <n v="1736"/>
    <n v="31248"/>
    <n v="19152"/>
    <n v="0.38"/>
  </r>
  <r>
    <s v="V-0300"/>
    <d v="2026-06-19T00:00:00"/>
    <x v="5"/>
    <x v="2"/>
    <x v="4"/>
    <x v="4"/>
    <s v="Pala Sanitaria"/>
    <s v="Distribuidor"/>
    <n v="52"/>
    <n v="3600"/>
    <n v="187200"/>
    <n v="1980.0000000000002"/>
    <n v="102960.00000000001"/>
    <n v="84239.999999999985"/>
    <n v="0.4499999999999999"/>
  </r>
  <r>
    <s v="V-0301"/>
    <d v="2026-08-27T00:00:00"/>
    <x v="1"/>
    <x v="1"/>
    <x v="1"/>
    <x v="3"/>
    <s v="Transportadora M"/>
    <s v="Retail"/>
    <n v="33"/>
    <n v="35700"/>
    <n v="1178100"/>
    <n v="25704"/>
    <n v="848232"/>
    <n v="329868"/>
    <n v="0.28000000000000003"/>
  </r>
  <r>
    <s v="V-0302"/>
    <d v="2026-08-17T00:00:00"/>
    <x v="1"/>
    <x v="4"/>
    <x v="1"/>
    <x v="1"/>
    <s v="Cama Rectangular S"/>
    <s v="Distribuidor"/>
    <n v="35"/>
    <n v="14400"/>
    <n v="504000"/>
    <n v="9792"/>
    <n v="342720"/>
    <n v="161280"/>
    <n v="0.32"/>
  </r>
  <r>
    <s v="V-0303"/>
    <d v="2026-03-03T00:00:00"/>
    <x v="3"/>
    <x v="5"/>
    <x v="0"/>
    <x v="3"/>
    <s v="Transportadora L"/>
    <s v="Distribuidor"/>
    <n v="28"/>
    <n v="51300"/>
    <n v="1436400"/>
    <n v="36936"/>
    <n v="1034208"/>
    <n v="402192"/>
    <n v="0.28000000000000003"/>
  </r>
  <r>
    <s v="V-0304"/>
    <d v="2026-06-04T00:00:00"/>
    <x v="5"/>
    <x v="2"/>
    <x v="3"/>
    <x v="3"/>
    <s v="Transportadora M"/>
    <s v="Distribuidor"/>
    <n v="11"/>
    <n v="38800"/>
    <n v="426800"/>
    <n v="27936"/>
    <n v="307296"/>
    <n v="119504"/>
    <n v="0.28000000000000003"/>
  </r>
  <r>
    <s v="V-0305"/>
    <d v="2026-06-13T00:00:00"/>
    <x v="5"/>
    <x v="2"/>
    <x v="0"/>
    <x v="3"/>
    <s v="Transportadora M"/>
    <s v="Distribuidor"/>
    <n v="24"/>
    <n v="37500"/>
    <n v="900000"/>
    <n v="27000"/>
    <n v="648000"/>
    <n v="252000"/>
    <n v="0.28000000000000003"/>
  </r>
  <r>
    <s v="V-0306"/>
    <d v="2026-03-18T00:00:00"/>
    <x v="3"/>
    <x v="1"/>
    <x v="0"/>
    <x v="0"/>
    <s v="Comedero Doble"/>
    <s v="Retail"/>
    <n v="13"/>
    <n v="6000"/>
    <n v="78000"/>
    <n v="3600"/>
    <n v="46800"/>
    <n v="31200"/>
    <n v="0.4"/>
  </r>
  <r>
    <s v="V-0307"/>
    <d v="2026-01-05T00:00:00"/>
    <x v="4"/>
    <x v="4"/>
    <x v="0"/>
    <x v="3"/>
    <s v="Transportadora L"/>
    <s v="Distribuidor"/>
    <n v="49"/>
    <n v="51100"/>
    <n v="2503900"/>
    <n v="36792"/>
    <n v="1802808"/>
    <n v="701092"/>
    <n v="0.28000000000000003"/>
  </r>
  <r>
    <s v="V-0308"/>
    <d v="2026-05-18T00:00:00"/>
    <x v="2"/>
    <x v="0"/>
    <x v="4"/>
    <x v="3"/>
    <s v="Transportadora L"/>
    <s v="Distribuidor"/>
    <n v="24"/>
    <n v="46000"/>
    <n v="1104000"/>
    <n v="33120"/>
    <n v="794880"/>
    <n v="309120"/>
    <n v="0.28000000000000003"/>
  </r>
  <r>
    <s v="V-0309"/>
    <d v="2026-06-02T00:00:00"/>
    <x v="5"/>
    <x v="1"/>
    <x v="4"/>
    <x v="4"/>
    <s v="Bandeja Sanitaria"/>
    <s v="Distribuidor"/>
    <n v="27"/>
    <n v="12900"/>
    <n v="348300"/>
    <n v="7095.0000000000009"/>
    <n v="191565.00000000003"/>
    <n v="156734.99999999997"/>
    <n v="0.4499999999999999"/>
  </r>
  <r>
    <s v="V-0310"/>
    <d v="2026-03-07T00:00:00"/>
    <x v="3"/>
    <x v="3"/>
    <x v="1"/>
    <x v="3"/>
    <s v="Transportadora S"/>
    <s v="Retail"/>
    <n v="33"/>
    <n v="28900"/>
    <n v="953700"/>
    <n v="20808"/>
    <n v="686664"/>
    <n v="267036"/>
    <n v="0.28000000000000003"/>
  </r>
  <r>
    <s v="V-0311"/>
    <d v="2026-06-01T00:00:00"/>
    <x v="5"/>
    <x v="0"/>
    <x v="2"/>
    <x v="2"/>
    <s v="Soga Nudos"/>
    <s v="Mayorista"/>
    <n v="34"/>
    <n v="4200"/>
    <n v="142800"/>
    <n v="2604"/>
    <n v="88536"/>
    <n v="54264"/>
    <n v="0.38"/>
  </r>
  <r>
    <s v="V-0312"/>
    <d v="2026-08-10T00:00:00"/>
    <x v="1"/>
    <x v="5"/>
    <x v="1"/>
    <x v="4"/>
    <s v="Cepillo Mascotas"/>
    <s v="Distribuidor"/>
    <n v="10"/>
    <n v="8100"/>
    <n v="81000"/>
    <n v="4455"/>
    <n v="44550"/>
    <n v="36450"/>
    <n v="0.45"/>
  </r>
  <r>
    <s v="V-0313"/>
    <d v="2026-01-09T00:00:00"/>
    <x v="4"/>
    <x v="1"/>
    <x v="4"/>
    <x v="3"/>
    <s v="Transportadora S"/>
    <s v="Distribuidor"/>
    <n v="16"/>
    <n v="27600"/>
    <n v="441600"/>
    <n v="19872"/>
    <n v="317952"/>
    <n v="123648"/>
    <n v="0.28000000000000003"/>
  </r>
  <r>
    <s v="V-0314"/>
    <d v="2026-07-20T00:00:00"/>
    <x v="7"/>
    <x v="5"/>
    <x v="0"/>
    <x v="3"/>
    <s v="Transportadora M"/>
    <s v="Distribuidor"/>
    <n v="31"/>
    <n v="36000"/>
    <n v="1116000"/>
    <n v="25920"/>
    <n v="803520"/>
    <n v="312480"/>
    <n v="0.28000000000000003"/>
  </r>
  <r>
    <s v="V-0315"/>
    <d v="2026-06-01T00:00:00"/>
    <x v="5"/>
    <x v="5"/>
    <x v="0"/>
    <x v="4"/>
    <s v="Rodillo Quitapelos"/>
    <s v="Distribuidor"/>
    <n v="54"/>
    <n v="6300"/>
    <n v="340200"/>
    <n v="3465.0000000000005"/>
    <n v="187110.00000000003"/>
    <n v="153089.99999999997"/>
    <n v="0.4499999999999999"/>
  </r>
  <r>
    <s v="V-0316"/>
    <d v="2026-07-24T00:00:00"/>
    <x v="7"/>
    <x v="3"/>
    <x v="0"/>
    <x v="0"/>
    <s v="Comedero Simple"/>
    <s v="Distribuidor"/>
    <n v="35"/>
    <n v="3800"/>
    <n v="133000"/>
    <n v="2280"/>
    <n v="79800"/>
    <n v="53200"/>
    <n v="0.4"/>
  </r>
  <r>
    <s v="V-0317"/>
    <d v="2026-01-10T00:00:00"/>
    <x v="4"/>
    <x v="2"/>
    <x v="4"/>
    <x v="1"/>
    <s v="Cama Rectangular S"/>
    <s v="Retail"/>
    <n v="24"/>
    <n v="15400"/>
    <n v="369600"/>
    <n v="10472"/>
    <n v="251328"/>
    <n v="118272"/>
    <n v="0.32"/>
  </r>
  <r>
    <s v="V-0318"/>
    <d v="2026-07-26T00:00:00"/>
    <x v="7"/>
    <x v="2"/>
    <x v="4"/>
    <x v="4"/>
    <s v="Pala Sanitaria"/>
    <s v="Mayorista"/>
    <n v="66"/>
    <n v="3400"/>
    <n v="224400"/>
    <n v="1870.0000000000002"/>
    <n v="123420.00000000001"/>
    <n v="100979.99999999999"/>
    <n v="0.44999999999999996"/>
  </r>
  <r>
    <s v="V-0319"/>
    <d v="2026-05-18T00:00:00"/>
    <x v="2"/>
    <x v="5"/>
    <x v="1"/>
    <x v="3"/>
    <s v="Transportadora M"/>
    <s v="Mayorista"/>
    <n v="45"/>
    <n v="38200"/>
    <n v="1719000"/>
    <n v="27504"/>
    <n v="1237680"/>
    <n v="481320"/>
    <n v="0.28000000000000003"/>
  </r>
  <r>
    <s v="V-0320"/>
    <d v="2026-03-26T00:00:00"/>
    <x v="3"/>
    <x v="2"/>
    <x v="0"/>
    <x v="2"/>
    <s v="Soga Nudos"/>
    <s v="Distribuidor"/>
    <n v="26"/>
    <n v="4400"/>
    <n v="114400"/>
    <n v="2728"/>
    <n v="70928"/>
    <n v="43472"/>
    <n v="0.38"/>
  </r>
  <r>
    <s v="V-0321"/>
    <d v="2026-03-29T00:00:00"/>
    <x v="3"/>
    <x v="0"/>
    <x v="2"/>
    <x v="3"/>
    <s v="Transportadora S"/>
    <s v="Distribuidor"/>
    <n v="13"/>
    <n v="28200"/>
    <n v="366600"/>
    <n v="20304"/>
    <n v="263952"/>
    <n v="102648"/>
    <n v="0.28000000000000003"/>
  </r>
  <r>
    <s v="V-0322"/>
    <d v="2026-04-24T00:00:00"/>
    <x v="6"/>
    <x v="0"/>
    <x v="3"/>
    <x v="4"/>
    <s v="Cepillo Mascotas"/>
    <s v="Retail"/>
    <n v="20"/>
    <n v="7300"/>
    <n v="146000"/>
    <n v="4015.0000000000005"/>
    <n v="80300.000000000015"/>
    <n v="65699.999999999985"/>
    <n v="0.4499999999999999"/>
  </r>
  <r>
    <s v="V-0323"/>
    <d v="2026-03-05T00:00:00"/>
    <x v="3"/>
    <x v="5"/>
    <x v="0"/>
    <x v="1"/>
    <s v="Cama Rectangular L"/>
    <s v="Mayorista"/>
    <n v="24"/>
    <n v="27600"/>
    <n v="662400"/>
    <n v="18768"/>
    <n v="450432"/>
    <n v="211968"/>
    <n v="0.32"/>
  </r>
  <r>
    <s v="V-0324"/>
    <d v="2026-06-28T00:00:00"/>
    <x v="5"/>
    <x v="3"/>
    <x v="2"/>
    <x v="4"/>
    <s v="Pala Sanitaria"/>
    <s v="Retail"/>
    <n v="49"/>
    <n v="3400"/>
    <n v="166600"/>
    <n v="1870.0000000000002"/>
    <n v="91630.000000000015"/>
    <n v="74969.999999999985"/>
    <n v="0.4499999999999999"/>
  </r>
  <r>
    <s v="V-0325"/>
    <d v="2026-03-04T00:00:00"/>
    <x v="3"/>
    <x v="3"/>
    <x v="4"/>
    <x v="0"/>
    <s v="Comedero Antideslizante"/>
    <s v="Distribuidor"/>
    <n v="4"/>
    <n v="7900"/>
    <n v="31600"/>
    <n v="4740"/>
    <n v="18960"/>
    <n v="12640"/>
    <n v="0.4"/>
  </r>
  <r>
    <s v="V-0326"/>
    <d v="2026-06-08T00:00:00"/>
    <x v="5"/>
    <x v="3"/>
    <x v="0"/>
    <x v="0"/>
    <s v="Comedero Doble"/>
    <s v="Distribuidor"/>
    <n v="46"/>
    <n v="6500"/>
    <n v="299000"/>
    <n v="3900"/>
    <n v="179400"/>
    <n v="119600"/>
    <n v="0.4"/>
  </r>
  <r>
    <s v="V-0327"/>
    <d v="2026-02-10T00:00:00"/>
    <x v="0"/>
    <x v="1"/>
    <x v="2"/>
    <x v="0"/>
    <s v="Comedero Antideslizante"/>
    <s v="Distribuidor"/>
    <n v="38"/>
    <n v="7700"/>
    <n v="292600"/>
    <n v="4620"/>
    <n v="175560"/>
    <n v="117040"/>
    <n v="0.4"/>
  </r>
  <r>
    <s v="V-0328"/>
    <d v="2026-07-02T00:00:00"/>
    <x v="7"/>
    <x v="5"/>
    <x v="0"/>
    <x v="2"/>
    <s v="Pelota Goma"/>
    <s v="Mayorista"/>
    <n v="57"/>
    <n v="3000"/>
    <n v="171000"/>
    <n v="1860"/>
    <n v="106020"/>
    <n v="64980"/>
    <n v="0.38"/>
  </r>
  <r>
    <s v="V-0329"/>
    <d v="2026-01-05T00:00:00"/>
    <x v="4"/>
    <x v="2"/>
    <x v="0"/>
    <x v="3"/>
    <s v="Transportadora S"/>
    <s v="Distribuidor"/>
    <n v="5"/>
    <n v="29000"/>
    <n v="145000"/>
    <n v="20880"/>
    <n v="104400"/>
    <n v="40600"/>
    <n v="0.28000000000000003"/>
  </r>
  <r>
    <s v="V-0330"/>
    <d v="2026-02-07T00:00:00"/>
    <x v="0"/>
    <x v="5"/>
    <x v="0"/>
    <x v="0"/>
    <s v="Comedero Simple"/>
    <s v="Distribuidor"/>
    <n v="41"/>
    <n v="3800"/>
    <n v="155800"/>
    <n v="2280"/>
    <n v="93480"/>
    <n v="62320"/>
    <n v="0.4"/>
  </r>
  <r>
    <s v="V-0331"/>
    <d v="2026-05-13T00:00:00"/>
    <x v="2"/>
    <x v="2"/>
    <x v="2"/>
    <x v="3"/>
    <s v="Transportadora M"/>
    <s v="Distribuidor"/>
    <n v="50"/>
    <n v="38700"/>
    <n v="1935000"/>
    <n v="27864"/>
    <n v="1393200"/>
    <n v="541800"/>
    <n v="0.28000000000000003"/>
  </r>
  <r>
    <s v="V-0332"/>
    <d v="2026-04-16T00:00:00"/>
    <x v="6"/>
    <x v="5"/>
    <x v="2"/>
    <x v="3"/>
    <s v="Transportadora M"/>
    <s v="Mayorista"/>
    <n v="37"/>
    <n v="35500"/>
    <n v="1313500"/>
    <n v="25560"/>
    <n v="945720"/>
    <n v="367780"/>
    <n v="0.28000000000000003"/>
  </r>
  <r>
    <s v="V-0333"/>
    <d v="2026-02-17T00:00:00"/>
    <x v="0"/>
    <x v="0"/>
    <x v="0"/>
    <x v="2"/>
    <s v="Soga Nudos"/>
    <s v="Retail"/>
    <n v="51"/>
    <n v="4200"/>
    <n v="214200"/>
    <n v="2604"/>
    <n v="132804"/>
    <n v="81396"/>
    <n v="0.38"/>
  </r>
  <r>
    <s v="V-0334"/>
    <d v="2026-08-20T00:00:00"/>
    <x v="1"/>
    <x v="2"/>
    <x v="4"/>
    <x v="0"/>
    <s v="Comedero Simple"/>
    <s v="Mayorista"/>
    <n v="41"/>
    <n v="3900"/>
    <n v="159900"/>
    <n v="2340"/>
    <n v="95940"/>
    <n v="63960"/>
    <n v="0.4"/>
  </r>
  <r>
    <s v="V-0335"/>
    <d v="2026-06-15T00:00:00"/>
    <x v="5"/>
    <x v="0"/>
    <x v="1"/>
    <x v="2"/>
    <s v="Mordillo Dental"/>
    <s v="Distribuidor"/>
    <n v="48"/>
    <n v="5400"/>
    <n v="259200"/>
    <n v="3348"/>
    <n v="160704"/>
    <n v="98496"/>
    <n v="0.38"/>
  </r>
  <r>
    <s v="V-0336"/>
    <d v="2026-01-03T00:00:00"/>
    <x v="4"/>
    <x v="5"/>
    <x v="4"/>
    <x v="2"/>
    <s v="Juguete Interactivo"/>
    <s v="Distribuidor"/>
    <n v="22"/>
    <n v="9700"/>
    <n v="213400"/>
    <n v="6014"/>
    <n v="132308"/>
    <n v="81092"/>
    <n v="0.38"/>
  </r>
  <r>
    <s v="V-0337"/>
    <d v="2026-07-31T00:00:00"/>
    <x v="7"/>
    <x v="4"/>
    <x v="2"/>
    <x v="4"/>
    <s v="Bandeja Sanitaria"/>
    <s v="Retail"/>
    <n v="7"/>
    <n v="12700"/>
    <n v="88900"/>
    <n v="6985.0000000000009"/>
    <n v="48895.000000000007"/>
    <n v="40004.999999999993"/>
    <n v="0.4499999999999999"/>
  </r>
  <r>
    <s v="V-0338"/>
    <d v="2026-03-26T00:00:00"/>
    <x v="3"/>
    <x v="0"/>
    <x v="3"/>
    <x v="3"/>
    <s v="Transportadora M"/>
    <s v="Distribuidor"/>
    <n v="4"/>
    <n v="37200"/>
    <n v="148800"/>
    <n v="26784"/>
    <n v="107136"/>
    <n v="41664"/>
    <n v="0.28000000000000003"/>
  </r>
  <r>
    <s v="V-0339"/>
    <d v="2026-01-18T00:00:00"/>
    <x v="4"/>
    <x v="3"/>
    <x v="1"/>
    <x v="1"/>
    <s v="Cama Rectangular S"/>
    <s v="Distribuidor"/>
    <n v="55"/>
    <n v="14100"/>
    <n v="775500"/>
    <n v="9588"/>
    <n v="527340"/>
    <n v="248160"/>
    <n v="0.32"/>
  </r>
  <r>
    <s v="V-0340"/>
    <d v="2026-05-19T00:00:00"/>
    <x v="2"/>
    <x v="3"/>
    <x v="0"/>
    <x v="4"/>
    <s v="Bandeja Sanitaria"/>
    <s v="Distribuidor"/>
    <n v="52"/>
    <n v="14100"/>
    <n v="733200"/>
    <n v="7755.0000000000009"/>
    <n v="403260.00000000006"/>
    <n v="329939.99999999994"/>
    <n v="0.4499999999999999"/>
  </r>
  <r>
    <s v="V-0341"/>
    <d v="2026-08-25T00:00:00"/>
    <x v="1"/>
    <x v="4"/>
    <x v="2"/>
    <x v="0"/>
    <s v="Comedero Doble"/>
    <s v="Distribuidor"/>
    <n v="47"/>
    <n v="6200"/>
    <n v="291400"/>
    <n v="3720"/>
    <n v="174840"/>
    <n v="116560"/>
    <n v="0.4"/>
  </r>
  <r>
    <s v="V-0342"/>
    <d v="2026-06-24T00:00:00"/>
    <x v="5"/>
    <x v="2"/>
    <x v="4"/>
    <x v="4"/>
    <s v="Cepillo Mascotas"/>
    <s v="Distribuidor"/>
    <n v="21"/>
    <n v="7500"/>
    <n v="157500"/>
    <n v="4125"/>
    <n v="86625"/>
    <n v="70875"/>
    <n v="0.45"/>
  </r>
  <r>
    <s v="V-0343"/>
    <d v="2026-04-15T00:00:00"/>
    <x v="6"/>
    <x v="0"/>
    <x v="1"/>
    <x v="0"/>
    <s v="Comedero Simple"/>
    <s v="Retail"/>
    <n v="29"/>
    <n v="3900"/>
    <n v="113100"/>
    <n v="2340"/>
    <n v="67860"/>
    <n v="45240"/>
    <n v="0.4"/>
  </r>
  <r>
    <s v="V-0344"/>
    <d v="2026-07-13T00:00:00"/>
    <x v="7"/>
    <x v="1"/>
    <x v="2"/>
    <x v="0"/>
    <s v="Comedero Doble"/>
    <s v="Mayorista"/>
    <n v="56"/>
    <n v="6700"/>
    <n v="375200"/>
    <n v="4020"/>
    <n v="225120"/>
    <n v="150080"/>
    <n v="0.4"/>
  </r>
  <r>
    <s v="V-0345"/>
    <d v="2026-06-27T00:00:00"/>
    <x v="5"/>
    <x v="5"/>
    <x v="2"/>
    <x v="0"/>
    <s v="Comedero Doble"/>
    <s v="Mayorista"/>
    <n v="65"/>
    <n v="6200"/>
    <n v="403000"/>
    <n v="3720"/>
    <n v="241800"/>
    <n v="161200"/>
    <n v="0.4"/>
  </r>
  <r>
    <s v="V-0346"/>
    <d v="2026-03-03T00:00:00"/>
    <x v="3"/>
    <x v="0"/>
    <x v="3"/>
    <x v="3"/>
    <s v="Transportadora S"/>
    <s v="Distribuidor"/>
    <n v="17"/>
    <n v="27700"/>
    <n v="470900"/>
    <n v="19944"/>
    <n v="339048"/>
    <n v="131852"/>
    <n v="0.28000000000000003"/>
  </r>
  <r>
    <s v="V-0347"/>
    <d v="2026-07-26T00:00:00"/>
    <x v="7"/>
    <x v="4"/>
    <x v="1"/>
    <x v="3"/>
    <s v="Transportadora L"/>
    <s v="Distribuidor"/>
    <n v="30"/>
    <n v="48000"/>
    <n v="1440000"/>
    <n v="34560"/>
    <n v="1036800"/>
    <n v="403200"/>
    <n v="0.28000000000000003"/>
  </r>
  <r>
    <s v="V-0348"/>
    <d v="2026-03-25T00:00:00"/>
    <x v="3"/>
    <x v="4"/>
    <x v="0"/>
    <x v="2"/>
    <s v="Mordillo Dental"/>
    <s v="Mayorista"/>
    <n v="34"/>
    <n v="5500"/>
    <n v="187000"/>
    <n v="3410"/>
    <n v="115940"/>
    <n v="71060"/>
    <n v="0.38"/>
  </r>
  <r>
    <s v="V-0349"/>
    <d v="2026-03-05T00:00:00"/>
    <x v="3"/>
    <x v="0"/>
    <x v="4"/>
    <x v="4"/>
    <s v="Rodillo Quitapelos"/>
    <s v="Mayorista"/>
    <n v="57"/>
    <n v="6100"/>
    <n v="347700"/>
    <n v="3355.0000000000005"/>
    <n v="191235.00000000003"/>
    <n v="156464.99999999997"/>
    <n v="0.4499999999999999"/>
  </r>
  <r>
    <s v="V-0350"/>
    <d v="2026-01-11T00:00:00"/>
    <x v="4"/>
    <x v="3"/>
    <x v="0"/>
    <x v="0"/>
    <s v="Comedero Simple"/>
    <s v="Distribuidor"/>
    <n v="34"/>
    <n v="3800"/>
    <n v="129200"/>
    <n v="2280"/>
    <n v="77520"/>
    <n v="51680"/>
    <n v="0.4"/>
  </r>
  <r>
    <s v="V-0351"/>
    <d v="2026-08-13T00:00:00"/>
    <x v="1"/>
    <x v="5"/>
    <x v="4"/>
    <x v="3"/>
    <s v="Transportadora S"/>
    <s v="Distribuidor"/>
    <n v="33"/>
    <n v="27700"/>
    <n v="914100"/>
    <n v="19944"/>
    <n v="658152"/>
    <n v="255948"/>
    <n v="0.28000000000000003"/>
  </r>
  <r>
    <s v="V-0352"/>
    <d v="2026-06-06T00:00:00"/>
    <x v="5"/>
    <x v="3"/>
    <x v="3"/>
    <x v="0"/>
    <s v="Comedero Simple"/>
    <s v="Distribuidor"/>
    <n v="9"/>
    <n v="3800"/>
    <n v="34200"/>
    <n v="2280"/>
    <n v="20520"/>
    <n v="13680"/>
    <n v="0.4"/>
  </r>
  <r>
    <s v="V-0353"/>
    <d v="2026-05-10T00:00:00"/>
    <x v="2"/>
    <x v="4"/>
    <x v="0"/>
    <x v="3"/>
    <s v="Transportadora M"/>
    <s v="Distribuidor"/>
    <n v="7"/>
    <n v="37000"/>
    <n v="259000"/>
    <n v="26640"/>
    <n v="186480"/>
    <n v="72520"/>
    <n v="0.28000000000000003"/>
  </r>
  <r>
    <s v="V-0354"/>
    <d v="2026-03-31T00:00:00"/>
    <x v="3"/>
    <x v="3"/>
    <x v="2"/>
    <x v="0"/>
    <s v="Comedero Doble"/>
    <s v="Retail"/>
    <n v="49"/>
    <n v="6500"/>
    <n v="318500"/>
    <n v="3900"/>
    <n v="191100"/>
    <n v="127400"/>
    <n v="0.4"/>
  </r>
  <r>
    <s v="V-0355"/>
    <d v="2026-02-17T00:00:00"/>
    <x v="0"/>
    <x v="0"/>
    <x v="1"/>
    <x v="3"/>
    <s v="Transportadora L"/>
    <s v="Retail"/>
    <n v="49"/>
    <n v="46400"/>
    <n v="2273600"/>
    <n v="33408"/>
    <n v="1636992"/>
    <n v="636608"/>
    <n v="0.28000000000000003"/>
  </r>
  <r>
    <s v="V-0356"/>
    <d v="2026-08-28T00:00:00"/>
    <x v="1"/>
    <x v="1"/>
    <x v="2"/>
    <x v="2"/>
    <s v="Juguete Interactivo"/>
    <s v="Distribuidor"/>
    <n v="10"/>
    <n v="10300"/>
    <n v="103000"/>
    <n v="6386"/>
    <n v="63860"/>
    <n v="39140"/>
    <n v="0.38"/>
  </r>
  <r>
    <s v="V-0357"/>
    <d v="2026-07-10T00:00:00"/>
    <x v="7"/>
    <x v="3"/>
    <x v="0"/>
    <x v="1"/>
    <s v="Cama Rectangular S"/>
    <s v="Distribuidor"/>
    <n v="41"/>
    <n v="14000"/>
    <n v="574000"/>
    <n v="9520"/>
    <n v="390320"/>
    <n v="183680"/>
    <n v="0.32"/>
  </r>
  <r>
    <s v="V-0358"/>
    <d v="2026-03-26T00:00:00"/>
    <x v="3"/>
    <x v="3"/>
    <x v="4"/>
    <x v="2"/>
    <s v="Juguete Interactivo"/>
    <s v="Retail"/>
    <n v="39"/>
    <n v="9600"/>
    <n v="374400"/>
    <n v="5952"/>
    <n v="232128"/>
    <n v="142272"/>
    <n v="0.38"/>
  </r>
  <r>
    <s v="V-0359"/>
    <d v="2026-03-23T00:00:00"/>
    <x v="3"/>
    <x v="0"/>
    <x v="3"/>
    <x v="1"/>
    <s v="Cama Cueva"/>
    <s v="Retail"/>
    <n v="18"/>
    <n v="23700"/>
    <n v="426600"/>
    <n v="16116.000000000002"/>
    <n v="290088.00000000006"/>
    <n v="136511.99999999994"/>
    <n v="0.31999999999999984"/>
  </r>
  <r>
    <s v="V-0360"/>
    <d v="2026-06-14T00:00:00"/>
    <x v="5"/>
    <x v="5"/>
    <x v="0"/>
    <x v="2"/>
    <s v="Juguete Interactivo"/>
    <s v="Distribuidor"/>
    <n v="31"/>
    <n v="10600"/>
    <n v="328600"/>
    <n v="6572"/>
    <n v="203732"/>
    <n v="124868"/>
    <n v="0.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70F097-7C93-49DA-82DD-C5E16ED02ECF}" name="TablaDinámica5" cacheId="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1:M2" firstHeaderRow="0" firstDataRow="1" firstDataCol="0"/>
  <pivotFields count="15">
    <pivotField showAll="0"/>
    <pivotField numFmtId="14" showAll="0"/>
    <pivotField showAll="0">
      <items count="9">
        <item x="4"/>
        <item x="0"/>
        <item x="3"/>
        <item x="6"/>
        <item x="2"/>
        <item x="5"/>
        <item x="7"/>
        <item x="1"/>
        <item t="default"/>
      </items>
    </pivotField>
    <pivotField showAll="0"/>
    <pivotField showAll="0">
      <items count="6">
        <item x="0"/>
        <item x="1"/>
        <item x="3"/>
        <item x="2"/>
        <item x="4"/>
        <item t="default"/>
      </items>
    </pivotField>
    <pivotField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dataField="1" showAll="0"/>
    <pivotField numFmtId="164" showAll="0"/>
    <pivotField dataField="1" numFmtId="164" showAll="0"/>
    <pivotField numFmtId="164" showAll="0"/>
    <pivotField dataField="1" numFmtId="164" showAll="0"/>
    <pivotField dataField="1" numFmtId="164" showAll="0"/>
    <pivotField numFmtId="10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Venta Total" fld="10" baseField="0" baseItem="0" numFmtId="164"/>
    <dataField name="Suma de Margen $" fld="13" baseField="0" baseItem="0" numFmtId="164"/>
    <dataField name="Suma de Unidades" fld="8" baseField="0" baseItem="0"/>
    <dataField name="Suma de Costo Total" fld="12" baseField="0" baseItem="0" numFmtId="164"/>
  </dataFields>
  <formats count="6">
    <format dxfId="550">
      <pivotArea type="all" dataOnly="0" outline="0" fieldPosition="0"/>
    </format>
    <format dxfId="551">
      <pivotArea outline="0" collapsedLevelsAreSubtotals="1" fieldPosition="0"/>
    </format>
    <format dxfId="55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53">
      <pivotArea type="all" dataOnly="0" outline="0" fieldPosition="0"/>
    </format>
    <format dxfId="554">
      <pivotArea outline="0" collapsedLevelsAreSubtotals="1" fieldPosition="0"/>
    </format>
    <format dxfId="55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59CC69-5712-454F-BE4E-DDCF8A476848}" name="TablaDinámica1" cacheId="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 rowHeaderCaption="Vendedor">
  <location ref="G1:H8" firstHeaderRow="1" firstDataRow="1" firstDataCol="1"/>
  <pivotFields count="15">
    <pivotField showAll="0"/>
    <pivotField numFmtId="14" showAll="0"/>
    <pivotField showAll="0">
      <items count="9">
        <item x="4"/>
        <item x="0"/>
        <item x="3"/>
        <item x="6"/>
        <item x="2"/>
        <item x="5"/>
        <item x="7"/>
        <item x="1"/>
        <item t="default"/>
      </items>
    </pivotField>
    <pivotField axis="axisRow" showAll="0">
      <items count="7">
        <item x="0"/>
        <item x="4"/>
        <item x="3"/>
        <item x="5"/>
        <item x="2"/>
        <item x="1"/>
        <item t="default"/>
      </items>
    </pivotField>
    <pivotField showAll="0">
      <items count="6">
        <item x="0"/>
        <item x="1"/>
        <item x="3"/>
        <item x="2"/>
        <item x="4"/>
        <item t="default"/>
      </items>
    </pivotField>
    <pivotField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Ventas por Vendedor" fld="10" baseField="0" baseItem="0" numFmtId="165"/>
  </dataFields>
  <formats count="7">
    <format dxfId="556">
      <pivotArea outline="0" collapsedLevelsAreSubtotals="1" fieldPosition="0"/>
    </format>
    <format dxfId="557">
      <pivotArea type="all" dataOnly="0" outline="0" fieldPosition="0"/>
    </format>
    <format dxfId="558">
      <pivotArea outline="0" collapsedLevelsAreSubtotals="1" fieldPosition="0"/>
    </format>
    <format dxfId="559">
      <pivotArea field="3" type="button" dataOnly="0" labelOnly="1" outline="0" axis="axisRow" fieldPosition="0"/>
    </format>
    <format dxfId="560">
      <pivotArea dataOnly="0" labelOnly="1" fieldPosition="0">
        <references count="1">
          <reference field="3" count="0"/>
        </references>
      </pivotArea>
    </format>
    <format dxfId="561">
      <pivotArea dataOnly="0" labelOnly="1" grandRow="1" outline="0" fieldPosition="0"/>
    </format>
    <format dxfId="562">
      <pivotArea dataOnly="0" labelOnly="1" outline="0" axis="axisValues" fieldPosition="0"/>
    </format>
  </formats>
  <conditionalFormats count="2">
    <conditionalFormat scope="field" type="all" priority="2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3" count="0" selected="0"/>
          </references>
        </pivotArea>
      </pivotAreas>
    </conditionalFormat>
    <conditionalFormat scope="field" type="all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3" count="0" selected="0"/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8B7187-6FD2-4468-B2B3-D03A0679CA12}" name="TablaDinámica3" cacheId="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 rowHeaderCaption="Categoria">
  <location ref="D1:E7" firstHeaderRow="1" firstDataRow="1" firstDataCol="1"/>
  <pivotFields count="15">
    <pivotField showAll="0"/>
    <pivotField numFmtId="14" showAll="0"/>
    <pivotField showAll="0">
      <items count="9">
        <item x="4"/>
        <item x="0"/>
        <item x="3"/>
        <item x="6"/>
        <item x="2"/>
        <item x="5"/>
        <item x="7"/>
        <item x="1"/>
        <item t="default"/>
      </items>
    </pivotField>
    <pivotField showAll="0"/>
    <pivotField showAll="0">
      <items count="6">
        <item x="0"/>
        <item x="1"/>
        <item x="3"/>
        <item x="2"/>
        <item x="4"/>
        <item t="default"/>
      </items>
    </pivotField>
    <pivotField axis="axisRow"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0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Ventas por Categoría" fld="10" baseField="0" baseItem="0" numFmtId="165"/>
  </dataFields>
  <formats count="7">
    <format dxfId="563">
      <pivotArea outline="0" collapsedLevelsAreSubtotals="1" fieldPosition="0"/>
    </format>
    <format dxfId="564">
      <pivotArea type="all" dataOnly="0" outline="0" fieldPosition="0"/>
    </format>
    <format dxfId="565">
      <pivotArea outline="0" collapsedLevelsAreSubtotals="1" fieldPosition="0"/>
    </format>
    <format dxfId="566">
      <pivotArea field="5" type="button" dataOnly="0" labelOnly="1" outline="0" axis="axisRow" fieldPosition="0"/>
    </format>
    <format dxfId="567">
      <pivotArea dataOnly="0" labelOnly="1" fieldPosition="0">
        <references count="1">
          <reference field="5" count="0"/>
        </references>
      </pivotArea>
    </format>
    <format dxfId="568">
      <pivotArea dataOnly="0" labelOnly="1" grandRow="1" outline="0" fieldPosition="0"/>
    </format>
    <format dxfId="56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F228A5-98A0-4DEF-B83D-899E4E1D5566}" name="TablaDinámica2" cacheId="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 rowHeaderCaption="Región">
  <location ref="A1:B7" firstHeaderRow="1" firstDataRow="1" firstDataCol="1"/>
  <pivotFields count="15">
    <pivotField showAll="0"/>
    <pivotField numFmtId="14" showAll="0"/>
    <pivotField showAll="0">
      <items count="9">
        <item x="4"/>
        <item x="0"/>
        <item x="3"/>
        <item x="6"/>
        <item x="2"/>
        <item x="5"/>
        <item x="7"/>
        <item x="1"/>
        <item t="default"/>
      </items>
    </pivotField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Ventas por Región" fld="10" baseField="0" baseItem="0" numFmtId="165"/>
  </dataFields>
  <formats count="7">
    <format dxfId="570">
      <pivotArea outline="0" collapsedLevelsAreSubtotals="1" fieldPosition="0"/>
    </format>
    <format dxfId="571">
      <pivotArea type="all" dataOnly="0" outline="0" fieldPosition="0"/>
    </format>
    <format dxfId="572">
      <pivotArea outline="0" collapsedLevelsAreSubtotals="1" fieldPosition="0"/>
    </format>
    <format dxfId="573">
      <pivotArea field="4" type="button" dataOnly="0" labelOnly="1" outline="0" axis="axisRow" fieldPosition="0"/>
    </format>
    <format dxfId="574">
      <pivotArea dataOnly="0" labelOnly="1" fieldPosition="0">
        <references count="1">
          <reference field="4" count="0"/>
        </references>
      </pivotArea>
    </format>
    <format dxfId="575">
      <pivotArea dataOnly="0" labelOnly="1" grandRow="1" outline="0" fieldPosition="0"/>
    </format>
    <format dxfId="57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ón" xr10:uid="{5ED37FA8-FA7A-4EF8-843E-8D340D9A6376}" sourceName="Región">
  <pivotTables>
    <pivotTable tabId="4" name="TablaDinámica2"/>
    <pivotTable tabId="4" name="TablaDinámica3"/>
    <pivotTable tabId="4" name="TablaDinámica1"/>
    <pivotTable tabId="4" name="TablaDinámica5"/>
  </pivotTables>
  <data>
    <tabular pivotCacheId="1026302509">
      <items count="5">
        <i x="0" s="1"/>
        <i x="1" s="1"/>
        <i x="3" s="1"/>
        <i x="2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E0D01A53-D014-470D-9CE7-F6F4A394FEC5}" sourceName="Mes">
  <pivotTables>
    <pivotTable tabId="4" name="TablaDinámica2"/>
    <pivotTable tabId="4" name="TablaDinámica3"/>
    <pivotTable tabId="4" name="TablaDinámica1"/>
    <pivotTable tabId="4" name="TablaDinámica5"/>
  </pivotTables>
  <data>
    <tabular pivotCacheId="1026302509">
      <items count="8">
        <i x="4" s="1"/>
        <i x="0" s="1"/>
        <i x="3" s="1"/>
        <i x="6" s="1"/>
        <i x="2" s="1"/>
        <i x="5" s="1"/>
        <i x="7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ía" xr10:uid="{C94BA88D-DF7B-40A5-9529-CF812E7AA95B}" sourceName="Categoría">
  <pivotTables>
    <pivotTable tabId="4" name="TablaDinámica2"/>
    <pivotTable tabId="4" name="TablaDinámica3"/>
    <pivotTable tabId="4" name="TablaDinámica1"/>
    <pivotTable tabId="4" name="TablaDinámica5"/>
  </pivotTables>
  <data>
    <tabular pivotCacheId="1026302509">
      <items count="5">
        <i x="1" s="1"/>
        <i x="0" s="1"/>
        <i x="4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ón" xr10:uid="{C52B121B-A25C-4E4E-800E-3472A225E8D1}" cache="SegmentaciónDeDatos_Región" caption="Región" rowHeight="241300"/>
  <slicer name="Mes" xr10:uid="{762BAB55-C6DA-4338-A757-0C2E58AF4DC7}" cache="SegmentaciónDeDatos_Mes" caption="Mes" columnCount="2" rowHeight="241300"/>
  <slicer name="Categoría" xr10:uid="{1468E6C9-51AC-4C51-B173-C5CC17BD056E}" cache="SegmentaciónDeDatos_Categoría" caption="Categoría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3159AF-4A0D-4003-BA5D-867F67765558}" name="Tabla1" displayName="Tabla1" ref="AD3:AE6" totalsRowShown="0">
  <autoFilter ref="AD3:AE6" xr:uid="{253159AF-4A0D-4003-BA5D-867F67765558}"/>
  <tableColumns count="2">
    <tableColumn id="1" xr3:uid="{74A1F3AD-40CE-45C8-95C9-506B1AA7E46F}" name="concepto"/>
    <tableColumn id="2" xr3:uid="{E87C7DAD-25C9-483B-9167-D97B0BB7C7E9}" name="impor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27A4E7-CAFB-48B2-9911-855CE4EF66AB}" name="Tbl_Datos" displayName="Tbl_Datos" ref="A1:O361" totalsRowShown="0">
  <autoFilter ref="A1:O361" xr:uid="{A927A4E7-CAFB-48B2-9911-855CE4EF66AB}"/>
  <tableColumns count="15">
    <tableColumn id="1" xr3:uid="{1465EFC3-668F-41C1-B89C-9F0858902504}" name="ID Venta" dataDxfId="1042"/>
    <tableColumn id="2" xr3:uid="{10AC821E-1B5B-417F-9205-8DEEEC97EF95}" name="Fecha" dataDxfId="1041"/>
    <tableColumn id="3" xr3:uid="{DB462B40-D6DA-420C-869B-B6FC8FBD774E}" name="Mes" dataDxfId="1040"/>
    <tableColumn id="4" xr3:uid="{1793CB2C-3FF9-4DD7-A5B9-B4C53C25D2C3}" name="Vendedor" dataDxfId="1039"/>
    <tableColumn id="5" xr3:uid="{3C87D0FE-CBB8-494C-8F18-24827A6A8DA1}" name="Región" dataDxfId="1038"/>
    <tableColumn id="6" xr3:uid="{12141ECA-3349-4E43-AEED-20C98F1072D8}" name="Categoría" dataDxfId="1037"/>
    <tableColumn id="7" xr3:uid="{515AB951-1DB1-4006-A500-E455E26BC00D}" name="Producto" dataDxfId="1036"/>
    <tableColumn id="8" xr3:uid="{D24BAA89-9F1A-43D8-AFB6-AFDB60CEC6F6}" name="Canal" dataDxfId="1035"/>
    <tableColumn id="9" xr3:uid="{2349AB83-7C04-4B98-A27B-E51378017910}" name="Unidades" dataDxfId="1034"/>
    <tableColumn id="10" xr3:uid="{8CDBAEC6-A851-4A78-95FD-B75D786516A7}" name="Precio Unitario" dataDxfId="1033"/>
    <tableColumn id="11" xr3:uid="{94F289FC-AFDB-421E-B341-12B54EE4BA8C}" name="Venta Total" dataDxfId="1032">
      <calculatedColumnFormula>Tbl_Datos[[#This Row],[Unidades]]*Tbl_Datos[[#This Row],[Precio Unitario]]</calculatedColumnFormula>
    </tableColumn>
    <tableColumn id="12" xr3:uid="{34EDD551-A30B-47EB-B076-FB4C18F954F2}" name="Costo Unitario" dataDxfId="1030">
      <calculatedColumnFormula array="1">_xlfn.IFS(F2="Camas",J2*68%,F2="Comederos",J2*60%,F2="Higiene",J2*55%,F2="Juguetes",J2*62%,F2="Transporte",J2*72%)</calculatedColumnFormula>
    </tableColumn>
    <tableColumn id="13" xr3:uid="{295D1626-5A34-4792-A9D2-9B3F52496742}" name="Costo Total" dataDxfId="1029">
      <calculatedColumnFormula>I2*L2</calculatedColumnFormula>
    </tableColumn>
    <tableColumn id="14" xr3:uid="{C8743C04-A5CF-4336-9DC7-D694E60AEE7D}" name="Margen $" dataDxfId="1028">
      <calculatedColumnFormula>K2-M2</calculatedColumnFormula>
    </tableColumn>
    <tableColumn id="15" xr3:uid="{D9C52AF1-6A61-4321-9B92-19F8C1738648}" name="Margen %" dataDxfId="1031">
      <calculatedColumnFormula>N2/K2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FC52F-BF63-4A73-AD2F-E3503AE3DEAA}">
  <dimension ref="B1:AE10"/>
  <sheetViews>
    <sheetView showGridLines="0" tabSelected="1" workbookViewId="0">
      <selection activeCell="K26" sqref="K26"/>
    </sheetView>
  </sheetViews>
  <sheetFormatPr baseColWidth="10" defaultRowHeight="15" x14ac:dyDescent="0.25"/>
  <cols>
    <col min="2" max="2" width="12.5703125" bestFit="1" customWidth="1"/>
    <col min="3" max="3" width="20" bestFit="1" customWidth="1"/>
    <col min="4" max="5" width="17.5703125" bestFit="1" customWidth="1"/>
    <col min="6" max="6" width="12.5703125" bestFit="1" customWidth="1"/>
    <col min="7" max="7" width="17.28515625" bestFit="1" customWidth="1"/>
    <col min="10" max="11" width="19.5703125" bestFit="1" customWidth="1"/>
    <col min="12" max="12" width="14.42578125" customWidth="1"/>
    <col min="13" max="13" width="19.28515625" bestFit="1" customWidth="1"/>
    <col min="14" max="14" width="17.42578125" bestFit="1" customWidth="1"/>
    <col min="15" max="15" width="17.5703125" bestFit="1" customWidth="1"/>
    <col min="16" max="16" width="19" bestFit="1" customWidth="1"/>
    <col min="17" max="17" width="11.42578125" customWidth="1"/>
  </cols>
  <sheetData>
    <row r="1" spans="2:31" ht="23.25" x14ac:dyDescent="0.35">
      <c r="B1" s="10" t="s">
        <v>422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2:31" ht="21" x14ac:dyDescent="0.35">
      <c r="B2" s="9"/>
      <c r="C2" s="11" t="s">
        <v>423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9"/>
    </row>
    <row r="3" spans="2:31" ht="21" x14ac:dyDescent="0.25">
      <c r="B3" s="20" t="s">
        <v>431</v>
      </c>
      <c r="C3" s="20"/>
      <c r="D3" s="20"/>
      <c r="E3" s="21"/>
      <c r="F3" s="20" t="s">
        <v>432</v>
      </c>
      <c r="G3" s="20"/>
      <c r="H3" s="20"/>
      <c r="I3" s="20" t="s">
        <v>433</v>
      </c>
      <c r="J3" s="20"/>
      <c r="K3" s="20"/>
      <c r="L3" s="26"/>
      <c r="AD3" t="s">
        <v>438</v>
      </c>
      <c r="AE3" t="s">
        <v>439</v>
      </c>
    </row>
    <row r="4" spans="2:31" ht="21" x14ac:dyDescent="0.35">
      <c r="B4" s="22"/>
      <c r="C4" s="23">
        <f>'Soporte Dashboard'!J2</f>
        <v>199726100</v>
      </c>
      <c r="D4" s="21"/>
      <c r="E4" s="21"/>
      <c r="F4" s="22"/>
      <c r="G4" s="24">
        <f>'Soporte Dashboard'!N2</f>
        <v>0.32434581158897108</v>
      </c>
      <c r="H4" s="21"/>
      <c r="I4" s="21"/>
      <c r="J4" s="25">
        <f>'Soporte Dashboard'!L2</f>
        <v>12027</v>
      </c>
      <c r="L4" s="21"/>
      <c r="AD4" t="s">
        <v>434</v>
      </c>
      <c r="AE4">
        <f>GETPIVOTDATA("Suma de Venta Total",'Soporte Dashboard'!$J$1)</f>
        <v>199726100</v>
      </c>
    </row>
    <row r="5" spans="2:31" x14ac:dyDescent="0.25">
      <c r="AD5" t="s">
        <v>435</v>
      </c>
      <c r="AE5">
        <f>-GETPIVOTDATA("Suma de Costo Total",'Soporte Dashboard'!$J$1)</f>
        <v>-134945776</v>
      </c>
    </row>
    <row r="6" spans="2:31" x14ac:dyDescent="0.25">
      <c r="AD6" t="s">
        <v>436</v>
      </c>
      <c r="AE6">
        <f>GETPIVOTDATA("Suma de Margen $",'Soporte Dashboard'!$J$1)</f>
        <v>64780324</v>
      </c>
    </row>
    <row r="10" spans="2:31" x14ac:dyDescent="0.25">
      <c r="AB10" t="str">
        <f>"El costo absorbe el "&amp;TEXT(1-G4,"0,00%")&amp;" de las ventas y deja un margen del "&amp;TEXT(G4,"0,00%")</f>
        <v>El costo absorbe el 67,57% de las ventas y deja un margen del 32,43%</v>
      </c>
    </row>
  </sheetData>
  <mergeCells count="5">
    <mergeCell ref="B1:N1"/>
    <mergeCell ref="C2:M2"/>
    <mergeCell ref="B3:D3"/>
    <mergeCell ref="F3:H3"/>
    <mergeCell ref="I3:K3"/>
  </mergeCells>
  <conditionalFormatting sqref="C4">
    <cfRule type="cellIs" dxfId="7" priority="6" operator="lessThanOrEqual">
      <formula>190000000</formula>
    </cfRule>
    <cfRule type="cellIs" dxfId="6" priority="7" operator="greaterThanOrEqual">
      <formula>190000000</formula>
    </cfRule>
  </conditionalFormatting>
  <conditionalFormatting sqref="G4">
    <cfRule type="cellIs" dxfId="5" priority="3" operator="lessThanOrEqual">
      <formula>30%</formula>
    </cfRule>
    <cfRule type="cellIs" dxfId="4" priority="5" operator="greaterThanOrEqual">
      <formula>30%</formula>
    </cfRule>
  </conditionalFormatting>
  <conditionalFormatting sqref="J4">
    <cfRule type="cellIs" dxfId="3" priority="1" operator="lessThanOrEqual">
      <formula>1100</formula>
    </cfRule>
    <cfRule type="cellIs" dxfId="2" priority="2" operator="greaterThanOrEqual">
      <formula>1100</formula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E0132-DCD5-4E9F-A27D-7F720B6B1351}">
  <dimension ref="A1:N8"/>
  <sheetViews>
    <sheetView workbookViewId="0">
      <selection activeCell="C14" sqref="B14:C14"/>
    </sheetView>
  </sheetViews>
  <sheetFormatPr baseColWidth="10" defaultRowHeight="15" x14ac:dyDescent="0.25"/>
  <cols>
    <col min="1" max="1" width="12.5703125" bestFit="1" customWidth="1"/>
    <col min="2" max="2" width="17.28515625" bestFit="1" customWidth="1"/>
    <col min="4" max="4" width="12.5703125" bestFit="1" customWidth="1"/>
    <col min="5" max="5" width="19.5703125" bestFit="1" customWidth="1"/>
    <col min="7" max="7" width="12.5703125" bestFit="1" customWidth="1"/>
    <col min="8" max="8" width="20" bestFit="1" customWidth="1"/>
    <col min="10" max="10" width="19.28515625" bestFit="1" customWidth="1"/>
    <col min="11" max="11" width="17.42578125" bestFit="1" customWidth="1"/>
    <col min="12" max="12" width="17.5703125" bestFit="1" customWidth="1"/>
    <col min="13" max="13" width="19" bestFit="1" customWidth="1"/>
  </cols>
  <sheetData>
    <row r="1" spans="1:14" x14ac:dyDescent="0.25">
      <c r="A1" s="6" t="s">
        <v>410</v>
      </c>
      <c r="B1" s="1" t="s">
        <v>421</v>
      </c>
      <c r="D1" s="6" t="s">
        <v>418</v>
      </c>
      <c r="E1" s="1" t="s">
        <v>420</v>
      </c>
      <c r="G1" s="6" t="s">
        <v>409</v>
      </c>
      <c r="H1" s="1" t="s">
        <v>419</v>
      </c>
      <c r="J1" s="1" t="s">
        <v>430</v>
      </c>
      <c r="K1" s="1" t="s">
        <v>428</v>
      </c>
      <c r="L1" s="1" t="s">
        <v>429</v>
      </c>
      <c r="M1" s="1" t="s">
        <v>437</v>
      </c>
      <c r="N1" s="19" t="s">
        <v>427</v>
      </c>
    </row>
    <row r="2" spans="1:14" x14ac:dyDescent="0.25">
      <c r="A2" s="7" t="s">
        <v>3</v>
      </c>
      <c r="B2" s="8">
        <v>66218400</v>
      </c>
      <c r="D2" s="7" t="s">
        <v>11</v>
      </c>
      <c r="E2" s="8">
        <v>50611300</v>
      </c>
      <c r="G2" s="7" t="s">
        <v>2</v>
      </c>
      <c r="H2" s="8">
        <v>30734800</v>
      </c>
      <c r="J2" s="3">
        <v>199726100</v>
      </c>
      <c r="K2" s="3">
        <v>64780324</v>
      </c>
      <c r="L2" s="18">
        <v>12027</v>
      </c>
      <c r="M2" s="3">
        <v>134945776</v>
      </c>
      <c r="N2" s="16">
        <f>'Soporte Dashboard'!K2/'Soporte Dashboard'!J2</f>
        <v>0.32434581158897108</v>
      </c>
    </row>
    <row r="3" spans="1:14" x14ac:dyDescent="0.25">
      <c r="A3" s="7" t="s">
        <v>10</v>
      </c>
      <c r="B3" s="8">
        <v>39832400</v>
      </c>
      <c r="D3" s="7" t="s">
        <v>4</v>
      </c>
      <c r="E3" s="8">
        <v>23012400</v>
      </c>
      <c r="G3" s="7" t="s">
        <v>27</v>
      </c>
      <c r="H3" s="8">
        <v>29960200</v>
      </c>
    </row>
    <row r="4" spans="1:14" x14ac:dyDescent="0.25">
      <c r="A4" s="7" t="s">
        <v>36</v>
      </c>
      <c r="B4" s="8">
        <v>26116400</v>
      </c>
      <c r="D4" s="7" t="s">
        <v>42</v>
      </c>
      <c r="E4" s="8">
        <v>17366800</v>
      </c>
      <c r="G4" s="7" t="s">
        <v>21</v>
      </c>
      <c r="H4" s="8">
        <v>29443000</v>
      </c>
    </row>
    <row r="5" spans="1:14" x14ac:dyDescent="0.25">
      <c r="A5" s="7" t="s">
        <v>16</v>
      </c>
      <c r="B5" s="8">
        <v>36411200</v>
      </c>
      <c r="D5" s="7" t="s">
        <v>17</v>
      </c>
      <c r="E5" s="8">
        <v>11187200</v>
      </c>
      <c r="G5" s="7" t="s">
        <v>33</v>
      </c>
      <c r="H5" s="8">
        <v>33903200</v>
      </c>
    </row>
    <row r="6" spans="1:14" x14ac:dyDescent="0.25">
      <c r="A6" s="7" t="s">
        <v>53</v>
      </c>
      <c r="B6" s="8">
        <v>31147700</v>
      </c>
      <c r="D6" s="7" t="s">
        <v>22</v>
      </c>
      <c r="E6" s="8">
        <v>97548400</v>
      </c>
      <c r="G6" s="7" t="s">
        <v>15</v>
      </c>
      <c r="H6" s="8">
        <v>36742700</v>
      </c>
    </row>
    <row r="7" spans="1:14" x14ac:dyDescent="0.25">
      <c r="A7" s="7" t="s">
        <v>417</v>
      </c>
      <c r="B7" s="8">
        <v>199726100</v>
      </c>
      <c r="D7" s="7" t="s">
        <v>417</v>
      </c>
      <c r="E7" s="8">
        <v>199726100</v>
      </c>
      <c r="G7" s="7" t="s">
        <v>9</v>
      </c>
      <c r="H7" s="8">
        <v>38942200</v>
      </c>
    </row>
    <row r="8" spans="1:14" x14ac:dyDescent="0.25">
      <c r="G8" s="7" t="s">
        <v>417</v>
      </c>
      <c r="H8" s="8">
        <v>199726100</v>
      </c>
    </row>
  </sheetData>
  <conditionalFormatting pivot="1" sqref="H2:H7">
    <cfRule type="aboveAverage" dxfId="1" priority="2"/>
  </conditionalFormatting>
  <conditionalFormatting pivot="1" sqref="H2:H7">
    <cfRule type="aboveAverage" dxfId="0" priority="1" aboveAverage="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1"/>
  <sheetViews>
    <sheetView workbookViewId="0">
      <selection activeCell="O2" sqref="O2"/>
    </sheetView>
  </sheetViews>
  <sheetFormatPr baseColWidth="10" defaultColWidth="9.140625" defaultRowHeight="15" x14ac:dyDescent="0.25"/>
  <cols>
    <col min="1" max="1" width="10.7109375" customWidth="1"/>
    <col min="2" max="2" width="10.7109375" style="4" bestFit="1" customWidth="1"/>
    <col min="3" max="3" width="8" bestFit="1" customWidth="1"/>
    <col min="4" max="4" width="12.140625" bestFit="1" customWidth="1"/>
    <col min="5" max="5" width="9.42578125" bestFit="1" customWidth="1"/>
    <col min="6" max="6" width="11.7109375" bestFit="1" customWidth="1"/>
    <col min="7" max="7" width="23.85546875" bestFit="1" customWidth="1"/>
    <col min="8" max="8" width="11.5703125" bestFit="1" customWidth="1"/>
    <col min="9" max="9" width="11.7109375" bestFit="1" customWidth="1"/>
    <col min="10" max="10" width="16.42578125" style="2" customWidth="1"/>
    <col min="11" max="11" width="13.28515625" style="2" customWidth="1"/>
    <col min="12" max="12" width="16" style="2" bestFit="1" customWidth="1"/>
    <col min="13" max="13" width="13.140625" style="2" bestFit="1" customWidth="1"/>
    <col min="14" max="14" width="11.5703125" style="2" bestFit="1" customWidth="1"/>
    <col min="15" max="15" width="12.140625" style="14" bestFit="1" customWidth="1"/>
  </cols>
  <sheetData>
    <row r="1" spans="1:15" x14ac:dyDescent="0.25">
      <c r="A1" t="s">
        <v>406</v>
      </c>
      <c r="B1" s="4" t="s">
        <v>407</v>
      </c>
      <c r="C1" t="s">
        <v>408</v>
      </c>
      <c r="D1" t="s">
        <v>409</v>
      </c>
      <c r="E1" t="s">
        <v>410</v>
      </c>
      <c r="F1" t="s">
        <v>411</v>
      </c>
      <c r="G1" t="s">
        <v>412</v>
      </c>
      <c r="H1" t="s">
        <v>413</v>
      </c>
      <c r="I1" t="s">
        <v>414</v>
      </c>
      <c r="J1" s="2" t="s">
        <v>415</v>
      </c>
      <c r="K1" s="2" t="s">
        <v>416</v>
      </c>
      <c r="L1" s="2" t="s">
        <v>424</v>
      </c>
      <c r="M1" s="2" t="s">
        <v>425</v>
      </c>
      <c r="N1" s="2" t="s">
        <v>426</v>
      </c>
      <c r="O1" s="14" t="s">
        <v>427</v>
      </c>
    </row>
    <row r="2" spans="1:15" x14ac:dyDescent="0.25">
      <c r="A2" s="1" t="s">
        <v>0</v>
      </c>
      <c r="B2" s="5">
        <v>46063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>
        <v>34</v>
      </c>
      <c r="J2" s="3">
        <v>6600</v>
      </c>
      <c r="K2" s="3">
        <f>Tbl_Datos[[#This Row],[Unidades]]*Tbl_Datos[[#This Row],[Precio Unitario]]</f>
        <v>224400</v>
      </c>
      <c r="L2" s="12" cm="1">
        <f t="array" ref="L2">_xlfn.IFS(F2="Camas",J2*68%,F2="Comederos",J2*60%,F2="Higiene",J2*55%,F2="Juguetes",J2*62%,F2="Transporte",J2*72%)</f>
        <v>3960</v>
      </c>
      <c r="M2" s="12">
        <f t="shared" ref="M2:M65" si="0">I2*L2</f>
        <v>134640</v>
      </c>
      <c r="N2" s="12">
        <f t="shared" ref="N2:N65" si="1">K2-M2</f>
        <v>89760</v>
      </c>
      <c r="O2" s="15">
        <f t="shared" ref="O2:O65" si="2">N2/K2</f>
        <v>0.4</v>
      </c>
    </row>
    <row r="3" spans="1:15" x14ac:dyDescent="0.25">
      <c r="A3" s="1" t="s">
        <v>7</v>
      </c>
      <c r="B3" s="5">
        <v>46263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6</v>
      </c>
      <c r="I3" s="1">
        <v>10</v>
      </c>
      <c r="J3" s="3">
        <v>20800</v>
      </c>
      <c r="K3" s="3">
        <f>Tbl_Datos[[#This Row],[Unidades]]*Tbl_Datos[[#This Row],[Precio Unitario]]</f>
        <v>208000</v>
      </c>
      <c r="L3" s="3" cm="1">
        <f t="array" ref="L3">_xlfn.IFS(F3="Camas",J3*68%,F3="Comederos",J3*60%,F3="Higiene",J3*55%,F3="Juguetes",J3*62%,F3="Transporte",J3*72%)</f>
        <v>14144.000000000002</v>
      </c>
      <c r="M3" s="3">
        <f t="shared" si="0"/>
        <v>141440.00000000003</v>
      </c>
      <c r="N3" s="3">
        <f t="shared" si="1"/>
        <v>66559.999999999971</v>
      </c>
      <c r="O3" s="16">
        <f t="shared" si="2"/>
        <v>0.31999999999999984</v>
      </c>
    </row>
    <row r="4" spans="1:15" x14ac:dyDescent="0.25">
      <c r="A4" s="1" t="s">
        <v>13</v>
      </c>
      <c r="B4" s="5">
        <v>46165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>
        <v>53</v>
      </c>
      <c r="J4" s="3">
        <v>3100</v>
      </c>
      <c r="K4" s="3">
        <f>Tbl_Datos[[#This Row],[Unidades]]*Tbl_Datos[[#This Row],[Precio Unitario]]</f>
        <v>164300</v>
      </c>
      <c r="L4" s="3" cm="1">
        <f t="array" ref="L4">_xlfn.IFS(F4="Camas",J4*68%,F4="Comederos",J4*60%,F4="Higiene",J4*55%,F4="Juguetes",J4*62%,F4="Transporte",J4*72%)</f>
        <v>1922</v>
      </c>
      <c r="M4" s="3">
        <f t="shared" si="0"/>
        <v>101866</v>
      </c>
      <c r="N4" s="3">
        <f t="shared" si="1"/>
        <v>62434</v>
      </c>
      <c r="O4" s="16">
        <f t="shared" si="2"/>
        <v>0.38</v>
      </c>
    </row>
    <row r="5" spans="1:15" x14ac:dyDescent="0.25">
      <c r="A5" s="1" t="s">
        <v>20</v>
      </c>
      <c r="B5" s="5">
        <v>46067</v>
      </c>
      <c r="C5" s="1" t="s">
        <v>1</v>
      </c>
      <c r="D5" s="1" t="s">
        <v>21</v>
      </c>
      <c r="E5" s="1" t="s">
        <v>3</v>
      </c>
      <c r="F5" s="1" t="s">
        <v>22</v>
      </c>
      <c r="G5" s="1" t="s">
        <v>23</v>
      </c>
      <c r="H5" s="1" t="s">
        <v>24</v>
      </c>
      <c r="I5" s="1">
        <v>52</v>
      </c>
      <c r="J5" s="3">
        <v>48300</v>
      </c>
      <c r="K5" s="3">
        <f>Tbl_Datos[[#This Row],[Unidades]]*Tbl_Datos[[#This Row],[Precio Unitario]]</f>
        <v>2511600</v>
      </c>
      <c r="L5" s="3" cm="1">
        <f t="array" ref="L5">_xlfn.IFS(F5="Camas",J5*68%,F5="Comederos",J5*60%,F5="Higiene",J5*55%,F5="Juguetes",J5*62%,F5="Transporte",J5*72%)</f>
        <v>34776</v>
      </c>
      <c r="M5" s="3">
        <f t="shared" si="0"/>
        <v>1808352</v>
      </c>
      <c r="N5" s="3">
        <f t="shared" si="1"/>
        <v>703248</v>
      </c>
      <c r="O5" s="16">
        <f t="shared" si="2"/>
        <v>0.28000000000000003</v>
      </c>
    </row>
    <row r="6" spans="1:15" x14ac:dyDescent="0.25">
      <c r="A6" s="1" t="s">
        <v>25</v>
      </c>
      <c r="B6" s="5">
        <v>46082</v>
      </c>
      <c r="C6" s="1" t="s">
        <v>26</v>
      </c>
      <c r="D6" s="1" t="s">
        <v>27</v>
      </c>
      <c r="E6" s="1" t="s">
        <v>3</v>
      </c>
      <c r="F6" s="1" t="s">
        <v>11</v>
      </c>
      <c r="G6" s="1" t="s">
        <v>28</v>
      </c>
      <c r="H6" s="1" t="s">
        <v>19</v>
      </c>
      <c r="I6" s="1">
        <v>54</v>
      </c>
      <c r="J6" s="3">
        <v>15600</v>
      </c>
      <c r="K6" s="3">
        <f>Tbl_Datos[[#This Row],[Unidades]]*Tbl_Datos[[#This Row],[Precio Unitario]]</f>
        <v>842400</v>
      </c>
      <c r="L6" s="3" cm="1">
        <f t="array" ref="L6">_xlfn.IFS(F6="Camas",J6*68%,F6="Comederos",J6*60%,F6="Higiene",J6*55%,F6="Juguetes",J6*62%,F6="Transporte",J6*72%)</f>
        <v>10608</v>
      </c>
      <c r="M6" s="3">
        <f t="shared" si="0"/>
        <v>572832</v>
      </c>
      <c r="N6" s="3">
        <f t="shared" si="1"/>
        <v>269568</v>
      </c>
      <c r="O6" s="16">
        <f t="shared" si="2"/>
        <v>0.32</v>
      </c>
    </row>
    <row r="7" spans="1:15" x14ac:dyDescent="0.25">
      <c r="A7" s="1" t="s">
        <v>29</v>
      </c>
      <c r="B7" s="5">
        <v>46079</v>
      </c>
      <c r="C7" s="1" t="s">
        <v>1</v>
      </c>
      <c r="D7" s="1" t="s">
        <v>2</v>
      </c>
      <c r="E7" s="1" t="s">
        <v>3</v>
      </c>
      <c r="F7" s="1" t="s">
        <v>11</v>
      </c>
      <c r="G7" s="1" t="s">
        <v>30</v>
      </c>
      <c r="H7" s="1" t="s">
        <v>6</v>
      </c>
      <c r="I7" s="1">
        <v>20</v>
      </c>
      <c r="J7" s="3">
        <v>27700</v>
      </c>
      <c r="K7" s="3">
        <f>Tbl_Datos[[#This Row],[Unidades]]*Tbl_Datos[[#This Row],[Precio Unitario]]</f>
        <v>554000</v>
      </c>
      <c r="L7" s="3" cm="1">
        <f t="array" ref="L7">_xlfn.IFS(F7="Camas",J7*68%,F7="Comederos",J7*60%,F7="Higiene",J7*55%,F7="Juguetes",J7*62%,F7="Transporte",J7*72%)</f>
        <v>18836</v>
      </c>
      <c r="M7" s="3">
        <f t="shared" si="0"/>
        <v>376720</v>
      </c>
      <c r="N7" s="3">
        <f t="shared" si="1"/>
        <v>177280</v>
      </c>
      <c r="O7" s="16">
        <f t="shared" si="2"/>
        <v>0.32</v>
      </c>
    </row>
    <row r="8" spans="1:15" x14ac:dyDescent="0.25">
      <c r="A8" s="1" t="s">
        <v>31</v>
      </c>
      <c r="B8" s="5">
        <v>46032</v>
      </c>
      <c r="C8" s="1" t="s">
        <v>32</v>
      </c>
      <c r="D8" s="1" t="s">
        <v>33</v>
      </c>
      <c r="E8" s="1" t="s">
        <v>10</v>
      </c>
      <c r="F8" s="1" t="s">
        <v>4</v>
      </c>
      <c r="G8" s="1" t="s">
        <v>34</v>
      </c>
      <c r="H8" s="1" t="s">
        <v>19</v>
      </c>
      <c r="I8" s="1">
        <v>35</v>
      </c>
      <c r="J8" s="3">
        <v>3900</v>
      </c>
      <c r="K8" s="3">
        <f>Tbl_Datos[[#This Row],[Unidades]]*Tbl_Datos[[#This Row],[Precio Unitario]]</f>
        <v>136500</v>
      </c>
      <c r="L8" s="3" cm="1">
        <f t="array" ref="L8">_xlfn.IFS(F8="Camas",J8*68%,F8="Comederos",J8*60%,F8="Higiene",J8*55%,F8="Juguetes",J8*62%,F8="Transporte",J8*72%)</f>
        <v>2340</v>
      </c>
      <c r="M8" s="3">
        <f t="shared" si="0"/>
        <v>81900</v>
      </c>
      <c r="N8" s="3">
        <f t="shared" si="1"/>
        <v>54600</v>
      </c>
      <c r="O8" s="16">
        <f t="shared" si="2"/>
        <v>0.4</v>
      </c>
    </row>
    <row r="9" spans="1:15" x14ac:dyDescent="0.25">
      <c r="A9" s="1" t="s">
        <v>35</v>
      </c>
      <c r="B9" s="5">
        <v>46025</v>
      </c>
      <c r="C9" s="1" t="s">
        <v>32</v>
      </c>
      <c r="D9" s="1" t="s">
        <v>21</v>
      </c>
      <c r="E9" s="1" t="s">
        <v>36</v>
      </c>
      <c r="F9" s="1" t="s">
        <v>22</v>
      </c>
      <c r="G9" s="1" t="s">
        <v>23</v>
      </c>
      <c r="H9" s="1" t="s">
        <v>24</v>
      </c>
      <c r="I9" s="1">
        <v>19</v>
      </c>
      <c r="J9" s="3">
        <v>50700</v>
      </c>
      <c r="K9" s="3">
        <f>Tbl_Datos[[#This Row],[Unidades]]*Tbl_Datos[[#This Row],[Precio Unitario]]</f>
        <v>963300</v>
      </c>
      <c r="L9" s="3" cm="1">
        <f t="array" ref="L9">_xlfn.IFS(F9="Camas",J9*68%,F9="Comederos",J9*60%,F9="Higiene",J9*55%,F9="Juguetes",J9*62%,F9="Transporte",J9*72%)</f>
        <v>36504</v>
      </c>
      <c r="M9" s="3">
        <f t="shared" si="0"/>
        <v>693576</v>
      </c>
      <c r="N9" s="3">
        <f t="shared" si="1"/>
        <v>269724</v>
      </c>
      <c r="O9" s="16">
        <f t="shared" si="2"/>
        <v>0.28000000000000003</v>
      </c>
    </row>
    <row r="10" spans="1:15" x14ac:dyDescent="0.25">
      <c r="A10" s="1" t="s">
        <v>37</v>
      </c>
      <c r="B10" s="5">
        <v>46156</v>
      </c>
      <c r="C10" s="1" t="s">
        <v>14</v>
      </c>
      <c r="D10" s="1" t="s">
        <v>15</v>
      </c>
      <c r="E10" s="1" t="s">
        <v>10</v>
      </c>
      <c r="F10" s="1" t="s">
        <v>4</v>
      </c>
      <c r="G10" s="1" t="s">
        <v>38</v>
      </c>
      <c r="H10" s="1" t="s">
        <v>19</v>
      </c>
      <c r="I10" s="1">
        <v>51</v>
      </c>
      <c r="J10" s="3">
        <v>8100</v>
      </c>
      <c r="K10" s="3">
        <f>Tbl_Datos[[#This Row],[Unidades]]*Tbl_Datos[[#This Row],[Precio Unitario]]</f>
        <v>413100</v>
      </c>
      <c r="L10" s="3" cm="1">
        <f t="array" ref="L10">_xlfn.IFS(F10="Camas",J10*68%,F10="Comederos",J10*60%,F10="Higiene",J10*55%,F10="Juguetes",J10*62%,F10="Transporte",J10*72%)</f>
        <v>4860</v>
      </c>
      <c r="M10" s="3">
        <f t="shared" si="0"/>
        <v>247860</v>
      </c>
      <c r="N10" s="3">
        <f t="shared" si="1"/>
        <v>165240</v>
      </c>
      <c r="O10" s="16">
        <f t="shared" si="2"/>
        <v>0.4</v>
      </c>
    </row>
    <row r="11" spans="1:15" x14ac:dyDescent="0.25">
      <c r="A11" s="1" t="s">
        <v>39</v>
      </c>
      <c r="B11" s="5">
        <v>46159</v>
      </c>
      <c r="C11" s="1" t="s">
        <v>14</v>
      </c>
      <c r="D11" s="1" t="s">
        <v>21</v>
      </c>
      <c r="E11" s="1" t="s">
        <v>36</v>
      </c>
      <c r="F11" s="1" t="s">
        <v>22</v>
      </c>
      <c r="G11" s="1" t="s">
        <v>40</v>
      </c>
      <c r="H11" s="1" t="s">
        <v>6</v>
      </c>
      <c r="I11" s="1">
        <v>33</v>
      </c>
      <c r="J11" s="3">
        <v>30400</v>
      </c>
      <c r="K11" s="3">
        <f>Tbl_Datos[[#This Row],[Unidades]]*Tbl_Datos[[#This Row],[Precio Unitario]]</f>
        <v>1003200</v>
      </c>
      <c r="L11" s="3" cm="1">
        <f t="array" ref="L11">_xlfn.IFS(F11="Camas",J11*68%,F11="Comederos",J11*60%,F11="Higiene",J11*55%,F11="Juguetes",J11*62%,F11="Transporte",J11*72%)</f>
        <v>21888</v>
      </c>
      <c r="M11" s="3">
        <f t="shared" si="0"/>
        <v>722304</v>
      </c>
      <c r="N11" s="3">
        <f t="shared" si="1"/>
        <v>280896</v>
      </c>
      <c r="O11" s="16">
        <f t="shared" si="2"/>
        <v>0.28000000000000003</v>
      </c>
    </row>
    <row r="12" spans="1:15" x14ac:dyDescent="0.25">
      <c r="A12" s="1" t="s">
        <v>41</v>
      </c>
      <c r="B12" s="5">
        <v>46031</v>
      </c>
      <c r="C12" s="1" t="s">
        <v>32</v>
      </c>
      <c r="D12" s="1" t="s">
        <v>33</v>
      </c>
      <c r="E12" s="1" t="s">
        <v>10</v>
      </c>
      <c r="F12" s="1" t="s">
        <v>42</v>
      </c>
      <c r="G12" s="1" t="s">
        <v>43</v>
      </c>
      <c r="H12" s="1" t="s">
        <v>24</v>
      </c>
      <c r="I12" s="1">
        <v>45</v>
      </c>
      <c r="J12" s="3">
        <v>14000</v>
      </c>
      <c r="K12" s="3">
        <f>Tbl_Datos[[#This Row],[Unidades]]*Tbl_Datos[[#This Row],[Precio Unitario]]</f>
        <v>630000</v>
      </c>
      <c r="L12" s="3" cm="1">
        <f t="array" ref="L12">_xlfn.IFS(F12="Camas",J12*68%,F12="Comederos",J12*60%,F12="Higiene",J12*55%,F12="Juguetes",J12*62%,F12="Transporte",J12*72%)</f>
        <v>7700.0000000000009</v>
      </c>
      <c r="M12" s="3">
        <f t="shared" si="0"/>
        <v>346500.00000000006</v>
      </c>
      <c r="N12" s="3">
        <f t="shared" si="1"/>
        <v>283499.99999999994</v>
      </c>
      <c r="O12" s="16">
        <f t="shared" si="2"/>
        <v>0.4499999999999999</v>
      </c>
    </row>
    <row r="13" spans="1:15" x14ac:dyDescent="0.25">
      <c r="A13" s="1" t="s">
        <v>44</v>
      </c>
      <c r="B13" s="5">
        <v>46175</v>
      </c>
      <c r="C13" s="1" t="s">
        <v>45</v>
      </c>
      <c r="D13" s="1" t="s">
        <v>9</v>
      </c>
      <c r="E13" s="1" t="s">
        <v>10</v>
      </c>
      <c r="F13" s="1" t="s">
        <v>11</v>
      </c>
      <c r="G13" s="1" t="s">
        <v>30</v>
      </c>
      <c r="H13" s="1" t="s">
        <v>19</v>
      </c>
      <c r="I13" s="1">
        <v>37</v>
      </c>
      <c r="J13" s="3">
        <v>27200</v>
      </c>
      <c r="K13" s="3">
        <f>Tbl_Datos[[#This Row],[Unidades]]*Tbl_Datos[[#This Row],[Precio Unitario]]</f>
        <v>1006400</v>
      </c>
      <c r="L13" s="3" cm="1">
        <f t="array" ref="L13">_xlfn.IFS(F13="Camas",J13*68%,F13="Comederos",J13*60%,F13="Higiene",J13*55%,F13="Juguetes",J13*62%,F13="Transporte",J13*72%)</f>
        <v>18496</v>
      </c>
      <c r="M13" s="3">
        <f t="shared" si="0"/>
        <v>684352</v>
      </c>
      <c r="N13" s="3">
        <f t="shared" si="1"/>
        <v>322048</v>
      </c>
      <c r="O13" s="16">
        <f t="shared" si="2"/>
        <v>0.32</v>
      </c>
    </row>
    <row r="14" spans="1:15" x14ac:dyDescent="0.25">
      <c r="A14" s="1" t="s">
        <v>46</v>
      </c>
      <c r="B14" s="5">
        <v>46129</v>
      </c>
      <c r="C14" s="1" t="s">
        <v>47</v>
      </c>
      <c r="D14" s="1" t="s">
        <v>21</v>
      </c>
      <c r="E14" s="1" t="s">
        <v>16</v>
      </c>
      <c r="F14" s="1" t="s">
        <v>11</v>
      </c>
      <c r="G14" s="1" t="s">
        <v>30</v>
      </c>
      <c r="H14" s="1" t="s">
        <v>19</v>
      </c>
      <c r="I14" s="1">
        <v>7</v>
      </c>
      <c r="J14" s="3">
        <v>25600</v>
      </c>
      <c r="K14" s="3">
        <f>Tbl_Datos[[#This Row],[Unidades]]*Tbl_Datos[[#This Row],[Precio Unitario]]</f>
        <v>179200</v>
      </c>
      <c r="L14" s="3" cm="1">
        <f t="array" ref="L14">_xlfn.IFS(F14="Camas",J14*68%,F14="Comederos",J14*60%,F14="Higiene",J14*55%,F14="Juguetes",J14*62%,F14="Transporte",J14*72%)</f>
        <v>17408</v>
      </c>
      <c r="M14" s="3">
        <f t="shared" si="0"/>
        <v>121856</v>
      </c>
      <c r="N14" s="3">
        <f t="shared" si="1"/>
        <v>57344</v>
      </c>
      <c r="O14" s="16">
        <f t="shared" si="2"/>
        <v>0.32</v>
      </c>
    </row>
    <row r="15" spans="1:15" x14ac:dyDescent="0.25">
      <c r="A15" s="1" t="s">
        <v>48</v>
      </c>
      <c r="B15" s="5">
        <v>46165</v>
      </c>
      <c r="C15" s="1" t="s">
        <v>14</v>
      </c>
      <c r="D15" s="1" t="s">
        <v>2</v>
      </c>
      <c r="E15" s="1" t="s">
        <v>36</v>
      </c>
      <c r="F15" s="1" t="s">
        <v>42</v>
      </c>
      <c r="G15" s="1" t="s">
        <v>49</v>
      </c>
      <c r="H15" s="1" t="s">
        <v>19</v>
      </c>
      <c r="I15" s="1">
        <v>38</v>
      </c>
      <c r="J15" s="3">
        <v>3600</v>
      </c>
      <c r="K15" s="3">
        <f>Tbl_Datos[[#This Row],[Unidades]]*Tbl_Datos[[#This Row],[Precio Unitario]]</f>
        <v>136800</v>
      </c>
      <c r="L15" s="3" cm="1">
        <f t="array" ref="L15">_xlfn.IFS(F15="Camas",J15*68%,F15="Comederos",J15*60%,F15="Higiene",J15*55%,F15="Juguetes",J15*62%,F15="Transporte",J15*72%)</f>
        <v>1980.0000000000002</v>
      </c>
      <c r="M15" s="3">
        <f t="shared" si="0"/>
        <v>75240.000000000015</v>
      </c>
      <c r="N15" s="3">
        <f t="shared" si="1"/>
        <v>61559.999999999985</v>
      </c>
      <c r="O15" s="16">
        <f t="shared" si="2"/>
        <v>0.4499999999999999</v>
      </c>
    </row>
    <row r="16" spans="1:15" x14ac:dyDescent="0.25">
      <c r="A16" s="1" t="s">
        <v>50</v>
      </c>
      <c r="B16" s="5">
        <v>46158</v>
      </c>
      <c r="C16" s="1" t="s">
        <v>14</v>
      </c>
      <c r="D16" s="1" t="s">
        <v>21</v>
      </c>
      <c r="E16" s="1" t="s">
        <v>36</v>
      </c>
      <c r="F16" s="1" t="s">
        <v>42</v>
      </c>
      <c r="G16" s="1" t="s">
        <v>43</v>
      </c>
      <c r="H16" s="1" t="s">
        <v>6</v>
      </c>
      <c r="I16" s="1">
        <v>5</v>
      </c>
      <c r="J16" s="3">
        <v>13800</v>
      </c>
      <c r="K16" s="3">
        <f>Tbl_Datos[[#This Row],[Unidades]]*Tbl_Datos[[#This Row],[Precio Unitario]]</f>
        <v>69000</v>
      </c>
      <c r="L16" s="3" cm="1">
        <f t="array" ref="L16">_xlfn.IFS(F16="Camas",J16*68%,F16="Comederos",J16*60%,F16="Higiene",J16*55%,F16="Juguetes",J16*62%,F16="Transporte",J16*72%)</f>
        <v>7590.0000000000009</v>
      </c>
      <c r="M16" s="3">
        <f t="shared" si="0"/>
        <v>37950.000000000007</v>
      </c>
      <c r="N16" s="3">
        <f t="shared" si="1"/>
        <v>31049.999999999993</v>
      </c>
      <c r="O16" s="16">
        <f t="shared" si="2"/>
        <v>0.4499999999999999</v>
      </c>
    </row>
    <row r="17" spans="1:15" x14ac:dyDescent="0.25">
      <c r="A17" s="1" t="s">
        <v>51</v>
      </c>
      <c r="B17" s="5">
        <v>46211</v>
      </c>
      <c r="C17" s="1" t="s">
        <v>52</v>
      </c>
      <c r="D17" s="1" t="s">
        <v>33</v>
      </c>
      <c r="E17" s="1" t="s">
        <v>53</v>
      </c>
      <c r="F17" s="1" t="s">
        <v>11</v>
      </c>
      <c r="G17" s="1" t="s">
        <v>30</v>
      </c>
      <c r="H17" s="1" t="s">
        <v>19</v>
      </c>
      <c r="I17" s="1">
        <v>50</v>
      </c>
      <c r="J17" s="3">
        <v>28100</v>
      </c>
      <c r="K17" s="3">
        <f>Tbl_Datos[[#This Row],[Unidades]]*Tbl_Datos[[#This Row],[Precio Unitario]]</f>
        <v>1405000</v>
      </c>
      <c r="L17" s="3" cm="1">
        <f t="array" ref="L17">_xlfn.IFS(F17="Camas",J17*68%,F17="Comederos",J17*60%,F17="Higiene",J17*55%,F17="Juguetes",J17*62%,F17="Transporte",J17*72%)</f>
        <v>19108</v>
      </c>
      <c r="M17" s="3">
        <f t="shared" si="0"/>
        <v>955400</v>
      </c>
      <c r="N17" s="3">
        <f t="shared" si="1"/>
        <v>449600</v>
      </c>
      <c r="O17" s="16">
        <f t="shared" si="2"/>
        <v>0.32</v>
      </c>
    </row>
    <row r="18" spans="1:15" x14ac:dyDescent="0.25">
      <c r="A18" s="1" t="s">
        <v>54</v>
      </c>
      <c r="B18" s="5">
        <v>46111</v>
      </c>
      <c r="C18" s="1" t="s">
        <v>26</v>
      </c>
      <c r="D18" s="1" t="s">
        <v>2</v>
      </c>
      <c r="E18" s="1" t="s">
        <v>36</v>
      </c>
      <c r="F18" s="1" t="s">
        <v>22</v>
      </c>
      <c r="G18" s="1" t="s">
        <v>55</v>
      </c>
      <c r="H18" s="1" t="s">
        <v>19</v>
      </c>
      <c r="I18" s="1">
        <v>53</v>
      </c>
      <c r="J18" s="3">
        <v>35300</v>
      </c>
      <c r="K18" s="3">
        <f>Tbl_Datos[[#This Row],[Unidades]]*Tbl_Datos[[#This Row],[Precio Unitario]]</f>
        <v>1870900</v>
      </c>
      <c r="L18" s="3" cm="1">
        <f t="array" ref="L18">_xlfn.IFS(F18="Camas",J18*68%,F18="Comederos",J18*60%,F18="Higiene",J18*55%,F18="Juguetes",J18*62%,F18="Transporte",J18*72%)</f>
        <v>25416</v>
      </c>
      <c r="M18" s="3">
        <f t="shared" si="0"/>
        <v>1347048</v>
      </c>
      <c r="N18" s="3">
        <f t="shared" si="1"/>
        <v>523852</v>
      </c>
      <c r="O18" s="16">
        <f t="shared" si="2"/>
        <v>0.28000000000000003</v>
      </c>
    </row>
    <row r="19" spans="1:15" x14ac:dyDescent="0.25">
      <c r="A19" s="1" t="s">
        <v>56</v>
      </c>
      <c r="B19" s="5">
        <v>46066</v>
      </c>
      <c r="C19" s="1" t="s">
        <v>1</v>
      </c>
      <c r="D19" s="1" t="s">
        <v>9</v>
      </c>
      <c r="E19" s="1" t="s">
        <v>53</v>
      </c>
      <c r="F19" s="1" t="s">
        <v>22</v>
      </c>
      <c r="G19" s="1" t="s">
        <v>40</v>
      </c>
      <c r="H19" s="1" t="s">
        <v>6</v>
      </c>
      <c r="I19" s="1">
        <v>46</v>
      </c>
      <c r="J19" s="3">
        <v>30400</v>
      </c>
      <c r="K19" s="3">
        <f>Tbl_Datos[[#This Row],[Unidades]]*Tbl_Datos[[#This Row],[Precio Unitario]]</f>
        <v>1398400</v>
      </c>
      <c r="L19" s="3" cm="1">
        <f t="array" ref="L19">_xlfn.IFS(F19="Camas",J19*68%,F19="Comederos",J19*60%,F19="Higiene",J19*55%,F19="Juguetes",J19*62%,F19="Transporte",J19*72%)</f>
        <v>21888</v>
      </c>
      <c r="M19" s="3">
        <f t="shared" si="0"/>
        <v>1006848</v>
      </c>
      <c r="N19" s="3">
        <f t="shared" si="1"/>
        <v>391552</v>
      </c>
      <c r="O19" s="16">
        <f t="shared" si="2"/>
        <v>0.28000000000000003</v>
      </c>
    </row>
    <row r="20" spans="1:15" x14ac:dyDescent="0.25">
      <c r="A20" s="1" t="s">
        <v>57</v>
      </c>
      <c r="B20" s="5">
        <v>46109</v>
      </c>
      <c r="C20" s="1" t="s">
        <v>26</v>
      </c>
      <c r="D20" s="1" t="s">
        <v>9</v>
      </c>
      <c r="E20" s="1" t="s">
        <v>16</v>
      </c>
      <c r="F20" s="1" t="s">
        <v>17</v>
      </c>
      <c r="G20" s="1" t="s">
        <v>58</v>
      </c>
      <c r="H20" s="1" t="s">
        <v>24</v>
      </c>
      <c r="I20" s="1">
        <v>43</v>
      </c>
      <c r="J20" s="3">
        <v>4400</v>
      </c>
      <c r="K20" s="3">
        <f>Tbl_Datos[[#This Row],[Unidades]]*Tbl_Datos[[#This Row],[Precio Unitario]]</f>
        <v>189200</v>
      </c>
      <c r="L20" s="3" cm="1">
        <f t="array" ref="L20">_xlfn.IFS(F20="Camas",J20*68%,F20="Comederos",J20*60%,F20="Higiene",J20*55%,F20="Juguetes",J20*62%,F20="Transporte",J20*72%)</f>
        <v>2728</v>
      </c>
      <c r="M20" s="3">
        <f t="shared" si="0"/>
        <v>117304</v>
      </c>
      <c r="N20" s="3">
        <f t="shared" si="1"/>
        <v>71896</v>
      </c>
      <c r="O20" s="16">
        <f t="shared" si="2"/>
        <v>0.38</v>
      </c>
    </row>
    <row r="21" spans="1:15" x14ac:dyDescent="0.25">
      <c r="A21" s="1" t="s">
        <v>59</v>
      </c>
      <c r="B21" s="5">
        <v>46231</v>
      </c>
      <c r="C21" s="1" t="s">
        <v>52</v>
      </c>
      <c r="D21" s="1" t="s">
        <v>15</v>
      </c>
      <c r="E21" s="1" t="s">
        <v>16</v>
      </c>
      <c r="F21" s="1" t="s">
        <v>4</v>
      </c>
      <c r="G21" s="1" t="s">
        <v>38</v>
      </c>
      <c r="H21" s="1" t="s">
        <v>19</v>
      </c>
      <c r="I21" s="1">
        <v>7</v>
      </c>
      <c r="J21" s="3">
        <v>7700</v>
      </c>
      <c r="K21" s="3">
        <f>Tbl_Datos[[#This Row],[Unidades]]*Tbl_Datos[[#This Row],[Precio Unitario]]</f>
        <v>53900</v>
      </c>
      <c r="L21" s="3" cm="1">
        <f t="array" ref="L21">_xlfn.IFS(F21="Camas",J21*68%,F21="Comederos",J21*60%,F21="Higiene",J21*55%,F21="Juguetes",J21*62%,F21="Transporte",J21*72%)</f>
        <v>4620</v>
      </c>
      <c r="M21" s="3">
        <f t="shared" si="0"/>
        <v>32340</v>
      </c>
      <c r="N21" s="3">
        <f t="shared" si="1"/>
        <v>21560</v>
      </c>
      <c r="O21" s="16">
        <f t="shared" si="2"/>
        <v>0.4</v>
      </c>
    </row>
    <row r="22" spans="1:15" x14ac:dyDescent="0.25">
      <c r="A22" s="1" t="s">
        <v>60</v>
      </c>
      <c r="B22" s="5">
        <v>46121</v>
      </c>
      <c r="C22" s="1" t="s">
        <v>47</v>
      </c>
      <c r="D22" s="1" t="s">
        <v>21</v>
      </c>
      <c r="E22" s="1" t="s">
        <v>10</v>
      </c>
      <c r="F22" s="1" t="s">
        <v>22</v>
      </c>
      <c r="G22" s="1" t="s">
        <v>23</v>
      </c>
      <c r="H22" s="1" t="s">
        <v>24</v>
      </c>
      <c r="I22" s="1">
        <v>25</v>
      </c>
      <c r="J22" s="3">
        <v>47800</v>
      </c>
      <c r="K22" s="3">
        <f>Tbl_Datos[[#This Row],[Unidades]]*Tbl_Datos[[#This Row],[Precio Unitario]]</f>
        <v>1195000</v>
      </c>
      <c r="L22" s="3" cm="1">
        <f t="array" ref="L22">_xlfn.IFS(F22="Camas",J22*68%,F22="Comederos",J22*60%,F22="Higiene",J22*55%,F22="Juguetes",J22*62%,F22="Transporte",J22*72%)</f>
        <v>34416</v>
      </c>
      <c r="M22" s="3">
        <f t="shared" si="0"/>
        <v>860400</v>
      </c>
      <c r="N22" s="3">
        <f t="shared" si="1"/>
        <v>334600</v>
      </c>
      <c r="O22" s="16">
        <f t="shared" si="2"/>
        <v>0.28000000000000003</v>
      </c>
    </row>
    <row r="23" spans="1:15" x14ac:dyDescent="0.25">
      <c r="A23" s="1" t="s">
        <v>61</v>
      </c>
      <c r="B23" s="5">
        <v>46134</v>
      </c>
      <c r="C23" s="1" t="s">
        <v>47</v>
      </c>
      <c r="D23" s="1" t="s">
        <v>9</v>
      </c>
      <c r="E23" s="1" t="s">
        <v>3</v>
      </c>
      <c r="F23" s="1" t="s">
        <v>11</v>
      </c>
      <c r="G23" s="1" t="s">
        <v>30</v>
      </c>
      <c r="H23" s="1" t="s">
        <v>6</v>
      </c>
      <c r="I23" s="1">
        <v>44</v>
      </c>
      <c r="J23" s="3">
        <v>27400</v>
      </c>
      <c r="K23" s="3">
        <f>Tbl_Datos[[#This Row],[Unidades]]*Tbl_Datos[[#This Row],[Precio Unitario]]</f>
        <v>1205600</v>
      </c>
      <c r="L23" s="3" cm="1">
        <f t="array" ref="L23">_xlfn.IFS(F23="Camas",J23*68%,F23="Comederos",J23*60%,F23="Higiene",J23*55%,F23="Juguetes",J23*62%,F23="Transporte",J23*72%)</f>
        <v>18632</v>
      </c>
      <c r="M23" s="3">
        <f t="shared" si="0"/>
        <v>819808</v>
      </c>
      <c r="N23" s="3">
        <f t="shared" si="1"/>
        <v>385792</v>
      </c>
      <c r="O23" s="16">
        <f t="shared" si="2"/>
        <v>0.32</v>
      </c>
    </row>
    <row r="24" spans="1:15" x14ac:dyDescent="0.25">
      <c r="A24" s="1" t="s">
        <v>62</v>
      </c>
      <c r="B24" s="5">
        <v>46121</v>
      </c>
      <c r="C24" s="1" t="s">
        <v>47</v>
      </c>
      <c r="D24" s="1" t="s">
        <v>33</v>
      </c>
      <c r="E24" s="1" t="s">
        <v>36</v>
      </c>
      <c r="F24" s="1" t="s">
        <v>11</v>
      </c>
      <c r="G24" s="1" t="s">
        <v>12</v>
      </c>
      <c r="H24" s="1" t="s">
        <v>19</v>
      </c>
      <c r="I24" s="1">
        <v>23</v>
      </c>
      <c r="J24" s="3">
        <v>19600</v>
      </c>
      <c r="K24" s="3">
        <f>Tbl_Datos[[#This Row],[Unidades]]*Tbl_Datos[[#This Row],[Precio Unitario]]</f>
        <v>450800</v>
      </c>
      <c r="L24" s="3" cm="1">
        <f t="array" ref="L24">_xlfn.IFS(F24="Camas",J24*68%,F24="Comederos",J24*60%,F24="Higiene",J24*55%,F24="Juguetes",J24*62%,F24="Transporte",J24*72%)</f>
        <v>13328.000000000002</v>
      </c>
      <c r="M24" s="3">
        <f t="shared" si="0"/>
        <v>306544.00000000006</v>
      </c>
      <c r="N24" s="3">
        <f t="shared" si="1"/>
        <v>144255.99999999994</v>
      </c>
      <c r="O24" s="16">
        <f t="shared" si="2"/>
        <v>0.3199999999999999</v>
      </c>
    </row>
    <row r="25" spans="1:15" x14ac:dyDescent="0.25">
      <c r="A25" s="1" t="s">
        <v>63</v>
      </c>
      <c r="B25" s="5">
        <v>46100</v>
      </c>
      <c r="C25" s="1" t="s">
        <v>26</v>
      </c>
      <c r="D25" s="1" t="s">
        <v>27</v>
      </c>
      <c r="E25" s="1" t="s">
        <v>53</v>
      </c>
      <c r="F25" s="1" t="s">
        <v>22</v>
      </c>
      <c r="G25" s="1" t="s">
        <v>40</v>
      </c>
      <c r="H25" s="1" t="s">
        <v>19</v>
      </c>
      <c r="I25" s="1">
        <v>34</v>
      </c>
      <c r="J25" s="3">
        <v>28700</v>
      </c>
      <c r="K25" s="3">
        <f>Tbl_Datos[[#This Row],[Unidades]]*Tbl_Datos[[#This Row],[Precio Unitario]]</f>
        <v>975800</v>
      </c>
      <c r="L25" s="3" cm="1">
        <f t="array" ref="L25">_xlfn.IFS(F25="Camas",J25*68%,F25="Comederos",J25*60%,F25="Higiene",J25*55%,F25="Juguetes",J25*62%,F25="Transporte",J25*72%)</f>
        <v>20664</v>
      </c>
      <c r="M25" s="3">
        <f t="shared" si="0"/>
        <v>702576</v>
      </c>
      <c r="N25" s="3">
        <f t="shared" si="1"/>
        <v>273224</v>
      </c>
      <c r="O25" s="16">
        <f t="shared" si="2"/>
        <v>0.28000000000000003</v>
      </c>
    </row>
    <row r="26" spans="1:15" x14ac:dyDescent="0.25">
      <c r="A26" s="1" t="s">
        <v>64</v>
      </c>
      <c r="B26" s="5">
        <v>46060</v>
      </c>
      <c r="C26" s="1" t="s">
        <v>1</v>
      </c>
      <c r="D26" s="1" t="s">
        <v>15</v>
      </c>
      <c r="E26" s="1" t="s">
        <v>53</v>
      </c>
      <c r="F26" s="1" t="s">
        <v>42</v>
      </c>
      <c r="G26" s="1" t="s">
        <v>65</v>
      </c>
      <c r="H26" s="1" t="s">
        <v>24</v>
      </c>
      <c r="I26" s="1">
        <v>83</v>
      </c>
      <c r="J26" s="3">
        <v>6400</v>
      </c>
      <c r="K26" s="3">
        <f>Tbl_Datos[[#This Row],[Unidades]]*Tbl_Datos[[#This Row],[Precio Unitario]]</f>
        <v>531200</v>
      </c>
      <c r="L26" s="3" cm="1">
        <f t="array" ref="L26">_xlfn.IFS(F26="Camas",J26*68%,F26="Comederos",J26*60%,F26="Higiene",J26*55%,F26="Juguetes",J26*62%,F26="Transporte",J26*72%)</f>
        <v>3520.0000000000005</v>
      </c>
      <c r="M26" s="3">
        <f t="shared" si="0"/>
        <v>292160.00000000006</v>
      </c>
      <c r="N26" s="3">
        <f t="shared" si="1"/>
        <v>239039.99999999994</v>
      </c>
      <c r="O26" s="16">
        <f t="shared" si="2"/>
        <v>0.4499999999999999</v>
      </c>
    </row>
    <row r="27" spans="1:15" x14ac:dyDescent="0.25">
      <c r="A27" s="1" t="s">
        <v>66</v>
      </c>
      <c r="B27" s="5">
        <v>46182</v>
      </c>
      <c r="C27" s="1" t="s">
        <v>45</v>
      </c>
      <c r="D27" s="1" t="s">
        <v>15</v>
      </c>
      <c r="E27" s="1" t="s">
        <v>3</v>
      </c>
      <c r="F27" s="1" t="s">
        <v>4</v>
      </c>
      <c r="G27" s="1" t="s">
        <v>38</v>
      </c>
      <c r="H27" s="1" t="s">
        <v>24</v>
      </c>
      <c r="I27" s="1">
        <v>68</v>
      </c>
      <c r="J27" s="3">
        <v>8100</v>
      </c>
      <c r="K27" s="3">
        <f>Tbl_Datos[[#This Row],[Unidades]]*Tbl_Datos[[#This Row],[Precio Unitario]]</f>
        <v>550800</v>
      </c>
      <c r="L27" s="3" cm="1">
        <f t="array" ref="L27">_xlfn.IFS(F27="Camas",J27*68%,F27="Comederos",J27*60%,F27="Higiene",J27*55%,F27="Juguetes",J27*62%,F27="Transporte",J27*72%)</f>
        <v>4860</v>
      </c>
      <c r="M27" s="3">
        <f t="shared" si="0"/>
        <v>330480</v>
      </c>
      <c r="N27" s="3">
        <f t="shared" si="1"/>
        <v>220320</v>
      </c>
      <c r="O27" s="16">
        <f t="shared" si="2"/>
        <v>0.4</v>
      </c>
    </row>
    <row r="28" spans="1:15" x14ac:dyDescent="0.25">
      <c r="A28" s="1" t="s">
        <v>67</v>
      </c>
      <c r="B28" s="5">
        <v>46121</v>
      </c>
      <c r="C28" s="1" t="s">
        <v>47</v>
      </c>
      <c r="D28" s="1" t="s">
        <v>9</v>
      </c>
      <c r="E28" s="1" t="s">
        <v>3</v>
      </c>
      <c r="F28" s="1" t="s">
        <v>17</v>
      </c>
      <c r="G28" s="1" t="s">
        <v>68</v>
      </c>
      <c r="H28" s="1" t="s">
        <v>19</v>
      </c>
      <c r="I28" s="1">
        <v>27</v>
      </c>
      <c r="J28" s="3">
        <v>5400</v>
      </c>
      <c r="K28" s="3">
        <f>Tbl_Datos[[#This Row],[Unidades]]*Tbl_Datos[[#This Row],[Precio Unitario]]</f>
        <v>145800</v>
      </c>
      <c r="L28" s="3" cm="1">
        <f t="array" ref="L28">_xlfn.IFS(F28="Camas",J28*68%,F28="Comederos",J28*60%,F28="Higiene",J28*55%,F28="Juguetes",J28*62%,F28="Transporte",J28*72%)</f>
        <v>3348</v>
      </c>
      <c r="M28" s="3">
        <f t="shared" si="0"/>
        <v>90396</v>
      </c>
      <c r="N28" s="3">
        <f t="shared" si="1"/>
        <v>55404</v>
      </c>
      <c r="O28" s="16">
        <f t="shared" si="2"/>
        <v>0.38</v>
      </c>
    </row>
    <row r="29" spans="1:15" x14ac:dyDescent="0.25">
      <c r="A29" s="1" t="s">
        <v>69</v>
      </c>
      <c r="B29" s="5">
        <v>46120</v>
      </c>
      <c r="C29" s="1" t="s">
        <v>47</v>
      </c>
      <c r="D29" s="1" t="s">
        <v>9</v>
      </c>
      <c r="E29" s="1" t="s">
        <v>3</v>
      </c>
      <c r="F29" s="1" t="s">
        <v>42</v>
      </c>
      <c r="G29" s="1" t="s">
        <v>49</v>
      </c>
      <c r="H29" s="1" t="s">
        <v>6</v>
      </c>
      <c r="I29" s="1">
        <v>55</v>
      </c>
      <c r="J29" s="3">
        <v>3300</v>
      </c>
      <c r="K29" s="3">
        <f>Tbl_Datos[[#This Row],[Unidades]]*Tbl_Datos[[#This Row],[Precio Unitario]]</f>
        <v>181500</v>
      </c>
      <c r="L29" s="3" cm="1">
        <f t="array" ref="L29">_xlfn.IFS(F29="Camas",J29*68%,F29="Comederos",J29*60%,F29="Higiene",J29*55%,F29="Juguetes",J29*62%,F29="Transporte",J29*72%)</f>
        <v>1815.0000000000002</v>
      </c>
      <c r="M29" s="3">
        <f t="shared" si="0"/>
        <v>99825.000000000015</v>
      </c>
      <c r="N29" s="3">
        <f t="shared" si="1"/>
        <v>81674.999999999985</v>
      </c>
      <c r="O29" s="16">
        <f t="shared" si="2"/>
        <v>0.4499999999999999</v>
      </c>
    </row>
    <row r="30" spans="1:15" x14ac:dyDescent="0.25">
      <c r="A30" s="1" t="s">
        <v>70</v>
      </c>
      <c r="B30" s="5">
        <v>46139</v>
      </c>
      <c r="C30" s="1" t="s">
        <v>47</v>
      </c>
      <c r="D30" s="1" t="s">
        <v>9</v>
      </c>
      <c r="E30" s="1" t="s">
        <v>3</v>
      </c>
      <c r="F30" s="1" t="s">
        <v>4</v>
      </c>
      <c r="G30" s="1" t="s">
        <v>71</v>
      </c>
      <c r="H30" s="1" t="s">
        <v>6</v>
      </c>
      <c r="I30" s="1">
        <v>47</v>
      </c>
      <c r="J30" s="3">
        <v>16100</v>
      </c>
      <c r="K30" s="3">
        <f>Tbl_Datos[[#This Row],[Unidades]]*Tbl_Datos[[#This Row],[Precio Unitario]]</f>
        <v>756700</v>
      </c>
      <c r="L30" s="3" cm="1">
        <f t="array" ref="L30">_xlfn.IFS(F30="Camas",J30*68%,F30="Comederos",J30*60%,F30="Higiene",J30*55%,F30="Juguetes",J30*62%,F30="Transporte",J30*72%)</f>
        <v>9660</v>
      </c>
      <c r="M30" s="3">
        <f t="shared" si="0"/>
        <v>454020</v>
      </c>
      <c r="N30" s="3">
        <f t="shared" si="1"/>
        <v>302680</v>
      </c>
      <c r="O30" s="16">
        <f t="shared" si="2"/>
        <v>0.4</v>
      </c>
    </row>
    <row r="31" spans="1:15" x14ac:dyDescent="0.25">
      <c r="A31" s="1" t="s">
        <v>72</v>
      </c>
      <c r="B31" s="5">
        <v>46091</v>
      </c>
      <c r="C31" s="1" t="s">
        <v>26</v>
      </c>
      <c r="D31" s="1" t="s">
        <v>15</v>
      </c>
      <c r="E31" s="1" t="s">
        <v>3</v>
      </c>
      <c r="F31" s="1" t="s">
        <v>17</v>
      </c>
      <c r="G31" s="1" t="s">
        <v>18</v>
      </c>
      <c r="H31" s="1" t="s">
        <v>6</v>
      </c>
      <c r="I31" s="1">
        <v>13</v>
      </c>
      <c r="J31" s="3">
        <v>3000</v>
      </c>
      <c r="K31" s="3">
        <f>Tbl_Datos[[#This Row],[Unidades]]*Tbl_Datos[[#This Row],[Precio Unitario]]</f>
        <v>39000</v>
      </c>
      <c r="L31" s="3" cm="1">
        <f t="array" ref="L31">_xlfn.IFS(F31="Camas",J31*68%,F31="Comederos",J31*60%,F31="Higiene",J31*55%,F31="Juguetes",J31*62%,F31="Transporte",J31*72%)</f>
        <v>1860</v>
      </c>
      <c r="M31" s="3">
        <f t="shared" si="0"/>
        <v>24180</v>
      </c>
      <c r="N31" s="3">
        <f t="shared" si="1"/>
        <v>14820</v>
      </c>
      <c r="O31" s="16">
        <f t="shared" si="2"/>
        <v>0.38</v>
      </c>
    </row>
    <row r="32" spans="1:15" x14ac:dyDescent="0.25">
      <c r="A32" s="1" t="s">
        <v>73</v>
      </c>
      <c r="B32" s="5">
        <v>46194</v>
      </c>
      <c r="C32" s="1" t="s">
        <v>45</v>
      </c>
      <c r="D32" s="1" t="s">
        <v>21</v>
      </c>
      <c r="E32" s="1" t="s">
        <v>53</v>
      </c>
      <c r="F32" s="1" t="s">
        <v>17</v>
      </c>
      <c r="G32" s="1" t="s">
        <v>74</v>
      </c>
      <c r="H32" s="1" t="s">
        <v>6</v>
      </c>
      <c r="I32" s="1">
        <v>4</v>
      </c>
      <c r="J32" s="3">
        <v>9500</v>
      </c>
      <c r="K32" s="3">
        <f>Tbl_Datos[[#This Row],[Unidades]]*Tbl_Datos[[#This Row],[Precio Unitario]]</f>
        <v>38000</v>
      </c>
      <c r="L32" s="3" cm="1">
        <f t="array" ref="L32">_xlfn.IFS(F32="Camas",J32*68%,F32="Comederos",J32*60%,F32="Higiene",J32*55%,F32="Juguetes",J32*62%,F32="Transporte",J32*72%)</f>
        <v>5890</v>
      </c>
      <c r="M32" s="3">
        <f t="shared" si="0"/>
        <v>23560</v>
      </c>
      <c r="N32" s="3">
        <f t="shared" si="1"/>
        <v>14440</v>
      </c>
      <c r="O32" s="16">
        <f t="shared" si="2"/>
        <v>0.38</v>
      </c>
    </row>
    <row r="33" spans="1:15" x14ac:dyDescent="0.25">
      <c r="A33" s="1" t="s">
        <v>75</v>
      </c>
      <c r="B33" s="5">
        <v>46178</v>
      </c>
      <c r="C33" s="1" t="s">
        <v>45</v>
      </c>
      <c r="D33" s="1" t="s">
        <v>21</v>
      </c>
      <c r="E33" s="1" t="s">
        <v>36</v>
      </c>
      <c r="F33" s="1" t="s">
        <v>11</v>
      </c>
      <c r="G33" s="1" t="s">
        <v>12</v>
      </c>
      <c r="H33" s="1" t="s">
        <v>24</v>
      </c>
      <c r="I33" s="1">
        <v>32</v>
      </c>
      <c r="J33" s="3">
        <v>20800</v>
      </c>
      <c r="K33" s="3">
        <f>Tbl_Datos[[#This Row],[Unidades]]*Tbl_Datos[[#This Row],[Precio Unitario]]</f>
        <v>665600</v>
      </c>
      <c r="L33" s="3" cm="1">
        <f t="array" ref="L33">_xlfn.IFS(F33="Camas",J33*68%,F33="Comederos",J33*60%,F33="Higiene",J33*55%,F33="Juguetes",J33*62%,F33="Transporte",J33*72%)</f>
        <v>14144.000000000002</v>
      </c>
      <c r="M33" s="3">
        <f t="shared" si="0"/>
        <v>452608.00000000006</v>
      </c>
      <c r="N33" s="3">
        <f t="shared" si="1"/>
        <v>212991.99999999994</v>
      </c>
      <c r="O33" s="16">
        <f t="shared" si="2"/>
        <v>0.3199999999999999</v>
      </c>
    </row>
    <row r="34" spans="1:15" x14ac:dyDescent="0.25">
      <c r="A34" s="1" t="s">
        <v>76</v>
      </c>
      <c r="B34" s="5">
        <v>46042</v>
      </c>
      <c r="C34" s="1" t="s">
        <v>32</v>
      </c>
      <c r="D34" s="1" t="s">
        <v>33</v>
      </c>
      <c r="E34" s="1" t="s">
        <v>16</v>
      </c>
      <c r="F34" s="1" t="s">
        <v>4</v>
      </c>
      <c r="G34" s="1" t="s">
        <v>34</v>
      </c>
      <c r="H34" s="1" t="s">
        <v>19</v>
      </c>
      <c r="I34" s="1">
        <v>53</v>
      </c>
      <c r="J34" s="3">
        <v>3700</v>
      </c>
      <c r="K34" s="3">
        <f>Tbl_Datos[[#This Row],[Unidades]]*Tbl_Datos[[#This Row],[Precio Unitario]]</f>
        <v>196100</v>
      </c>
      <c r="L34" s="3" cm="1">
        <f t="array" ref="L34">_xlfn.IFS(F34="Camas",J34*68%,F34="Comederos",J34*60%,F34="Higiene",J34*55%,F34="Juguetes",J34*62%,F34="Transporte",J34*72%)</f>
        <v>2220</v>
      </c>
      <c r="M34" s="3">
        <f t="shared" si="0"/>
        <v>117660</v>
      </c>
      <c r="N34" s="3">
        <f t="shared" si="1"/>
        <v>78440</v>
      </c>
      <c r="O34" s="16">
        <f t="shared" si="2"/>
        <v>0.4</v>
      </c>
    </row>
    <row r="35" spans="1:15" x14ac:dyDescent="0.25">
      <c r="A35" s="1" t="s">
        <v>77</v>
      </c>
      <c r="B35" s="5">
        <v>46170</v>
      </c>
      <c r="C35" s="1" t="s">
        <v>14</v>
      </c>
      <c r="D35" s="1" t="s">
        <v>33</v>
      </c>
      <c r="E35" s="1" t="s">
        <v>16</v>
      </c>
      <c r="F35" s="1" t="s">
        <v>22</v>
      </c>
      <c r="G35" s="1" t="s">
        <v>55</v>
      </c>
      <c r="H35" s="1" t="s">
        <v>24</v>
      </c>
      <c r="I35" s="1">
        <v>39</v>
      </c>
      <c r="J35" s="3">
        <v>37200</v>
      </c>
      <c r="K35" s="3">
        <f>Tbl_Datos[[#This Row],[Unidades]]*Tbl_Datos[[#This Row],[Precio Unitario]]</f>
        <v>1450800</v>
      </c>
      <c r="L35" s="3" cm="1">
        <f t="array" ref="L35">_xlfn.IFS(F35="Camas",J35*68%,F35="Comederos",J35*60%,F35="Higiene",J35*55%,F35="Juguetes",J35*62%,F35="Transporte",J35*72%)</f>
        <v>26784</v>
      </c>
      <c r="M35" s="3">
        <f t="shared" si="0"/>
        <v>1044576</v>
      </c>
      <c r="N35" s="3">
        <f t="shared" si="1"/>
        <v>406224</v>
      </c>
      <c r="O35" s="16">
        <f t="shared" si="2"/>
        <v>0.28000000000000003</v>
      </c>
    </row>
    <row r="36" spans="1:15" x14ac:dyDescent="0.25">
      <c r="A36" s="1" t="s">
        <v>78</v>
      </c>
      <c r="B36" s="5">
        <v>46033</v>
      </c>
      <c r="C36" s="1" t="s">
        <v>32</v>
      </c>
      <c r="D36" s="1" t="s">
        <v>9</v>
      </c>
      <c r="E36" s="1" t="s">
        <v>53</v>
      </c>
      <c r="F36" s="1" t="s">
        <v>42</v>
      </c>
      <c r="G36" s="1" t="s">
        <v>65</v>
      </c>
      <c r="H36" s="1" t="s">
        <v>6</v>
      </c>
      <c r="I36" s="1">
        <v>55</v>
      </c>
      <c r="J36" s="3">
        <v>5800</v>
      </c>
      <c r="K36" s="3">
        <f>Tbl_Datos[[#This Row],[Unidades]]*Tbl_Datos[[#This Row],[Precio Unitario]]</f>
        <v>319000</v>
      </c>
      <c r="L36" s="3" cm="1">
        <f t="array" ref="L36">_xlfn.IFS(F36="Camas",J36*68%,F36="Comederos",J36*60%,F36="Higiene",J36*55%,F36="Juguetes",J36*62%,F36="Transporte",J36*72%)</f>
        <v>3190.0000000000005</v>
      </c>
      <c r="M36" s="3">
        <f t="shared" si="0"/>
        <v>175450.00000000003</v>
      </c>
      <c r="N36" s="3">
        <f t="shared" si="1"/>
        <v>143549.99999999997</v>
      </c>
      <c r="O36" s="16">
        <f t="shared" si="2"/>
        <v>0.4499999999999999</v>
      </c>
    </row>
    <row r="37" spans="1:15" x14ac:dyDescent="0.25">
      <c r="A37" s="1" t="s">
        <v>79</v>
      </c>
      <c r="B37" s="5">
        <v>46227</v>
      </c>
      <c r="C37" s="1" t="s">
        <v>52</v>
      </c>
      <c r="D37" s="1" t="s">
        <v>27</v>
      </c>
      <c r="E37" s="1" t="s">
        <v>3</v>
      </c>
      <c r="F37" s="1" t="s">
        <v>11</v>
      </c>
      <c r="G37" s="1" t="s">
        <v>28</v>
      </c>
      <c r="H37" s="1" t="s">
        <v>6</v>
      </c>
      <c r="I37" s="1">
        <v>9</v>
      </c>
      <c r="J37" s="3">
        <v>14300</v>
      </c>
      <c r="K37" s="3">
        <f>Tbl_Datos[[#This Row],[Unidades]]*Tbl_Datos[[#This Row],[Precio Unitario]]</f>
        <v>128700</v>
      </c>
      <c r="L37" s="3" cm="1">
        <f t="array" ref="L37">_xlfn.IFS(F37="Camas",J37*68%,F37="Comederos",J37*60%,F37="Higiene",J37*55%,F37="Juguetes",J37*62%,F37="Transporte",J37*72%)</f>
        <v>9724</v>
      </c>
      <c r="M37" s="3">
        <f t="shared" si="0"/>
        <v>87516</v>
      </c>
      <c r="N37" s="3">
        <f t="shared" si="1"/>
        <v>41184</v>
      </c>
      <c r="O37" s="16">
        <f t="shared" si="2"/>
        <v>0.32</v>
      </c>
    </row>
    <row r="38" spans="1:15" x14ac:dyDescent="0.25">
      <c r="A38" s="1" t="s">
        <v>80</v>
      </c>
      <c r="B38" s="5">
        <v>46203</v>
      </c>
      <c r="C38" s="1" t="s">
        <v>45</v>
      </c>
      <c r="D38" s="1" t="s">
        <v>33</v>
      </c>
      <c r="E38" s="1" t="s">
        <v>10</v>
      </c>
      <c r="F38" s="1" t="s">
        <v>4</v>
      </c>
      <c r="G38" s="1" t="s">
        <v>38</v>
      </c>
      <c r="H38" s="1" t="s">
        <v>19</v>
      </c>
      <c r="I38" s="1">
        <v>50</v>
      </c>
      <c r="J38" s="3">
        <v>8200</v>
      </c>
      <c r="K38" s="3">
        <f>Tbl_Datos[[#This Row],[Unidades]]*Tbl_Datos[[#This Row],[Precio Unitario]]</f>
        <v>410000</v>
      </c>
      <c r="L38" s="3" cm="1">
        <f t="array" ref="L38">_xlfn.IFS(F38="Camas",J38*68%,F38="Comederos",J38*60%,F38="Higiene",J38*55%,F38="Juguetes",J38*62%,F38="Transporte",J38*72%)</f>
        <v>4920</v>
      </c>
      <c r="M38" s="3">
        <f t="shared" si="0"/>
        <v>246000</v>
      </c>
      <c r="N38" s="3">
        <f t="shared" si="1"/>
        <v>164000</v>
      </c>
      <c r="O38" s="16">
        <f t="shared" si="2"/>
        <v>0.4</v>
      </c>
    </row>
    <row r="39" spans="1:15" x14ac:dyDescent="0.25">
      <c r="A39" s="1" t="s">
        <v>81</v>
      </c>
      <c r="B39" s="5">
        <v>46153</v>
      </c>
      <c r="C39" s="1" t="s">
        <v>14</v>
      </c>
      <c r="D39" s="1" t="s">
        <v>15</v>
      </c>
      <c r="E39" s="1" t="s">
        <v>3</v>
      </c>
      <c r="F39" s="1" t="s">
        <v>4</v>
      </c>
      <c r="G39" s="1" t="s">
        <v>34</v>
      </c>
      <c r="H39" s="1" t="s">
        <v>6</v>
      </c>
      <c r="I39" s="1">
        <v>37</v>
      </c>
      <c r="J39" s="3">
        <v>3900</v>
      </c>
      <c r="K39" s="3">
        <f>Tbl_Datos[[#This Row],[Unidades]]*Tbl_Datos[[#This Row],[Precio Unitario]]</f>
        <v>144300</v>
      </c>
      <c r="L39" s="3" cm="1">
        <f t="array" ref="L39">_xlfn.IFS(F39="Camas",J39*68%,F39="Comederos",J39*60%,F39="Higiene",J39*55%,F39="Juguetes",J39*62%,F39="Transporte",J39*72%)</f>
        <v>2340</v>
      </c>
      <c r="M39" s="3">
        <f t="shared" si="0"/>
        <v>86580</v>
      </c>
      <c r="N39" s="3">
        <f t="shared" si="1"/>
        <v>57720</v>
      </c>
      <c r="O39" s="16">
        <f t="shared" si="2"/>
        <v>0.4</v>
      </c>
    </row>
    <row r="40" spans="1:15" x14ac:dyDescent="0.25">
      <c r="A40" s="1" t="s">
        <v>82</v>
      </c>
      <c r="B40" s="5">
        <v>46215</v>
      </c>
      <c r="C40" s="1" t="s">
        <v>52</v>
      </c>
      <c r="D40" s="1" t="s">
        <v>15</v>
      </c>
      <c r="E40" s="1" t="s">
        <v>36</v>
      </c>
      <c r="F40" s="1" t="s">
        <v>42</v>
      </c>
      <c r="G40" s="1" t="s">
        <v>65</v>
      </c>
      <c r="H40" s="1" t="s">
        <v>19</v>
      </c>
      <c r="I40" s="1">
        <v>13</v>
      </c>
      <c r="J40" s="3">
        <v>5700</v>
      </c>
      <c r="K40" s="3">
        <f>Tbl_Datos[[#This Row],[Unidades]]*Tbl_Datos[[#This Row],[Precio Unitario]]</f>
        <v>74100</v>
      </c>
      <c r="L40" s="3" cm="1">
        <f t="array" ref="L40">_xlfn.IFS(F40="Camas",J40*68%,F40="Comederos",J40*60%,F40="Higiene",J40*55%,F40="Juguetes",J40*62%,F40="Transporte",J40*72%)</f>
        <v>3135.0000000000005</v>
      </c>
      <c r="M40" s="3">
        <f t="shared" si="0"/>
        <v>40755.000000000007</v>
      </c>
      <c r="N40" s="3">
        <f t="shared" si="1"/>
        <v>33344.999999999993</v>
      </c>
      <c r="O40" s="16">
        <f t="shared" si="2"/>
        <v>0.4499999999999999</v>
      </c>
    </row>
    <row r="41" spans="1:15" x14ac:dyDescent="0.25">
      <c r="A41" s="1" t="s">
        <v>83</v>
      </c>
      <c r="B41" s="5">
        <v>46236</v>
      </c>
      <c r="C41" s="1" t="s">
        <v>8</v>
      </c>
      <c r="D41" s="1" t="s">
        <v>15</v>
      </c>
      <c r="E41" s="1" t="s">
        <v>3</v>
      </c>
      <c r="F41" s="1" t="s">
        <v>22</v>
      </c>
      <c r="G41" s="1" t="s">
        <v>23</v>
      </c>
      <c r="H41" s="1" t="s">
        <v>6</v>
      </c>
      <c r="I41" s="1">
        <v>34</v>
      </c>
      <c r="J41" s="3">
        <v>49300</v>
      </c>
      <c r="K41" s="3">
        <f>Tbl_Datos[[#This Row],[Unidades]]*Tbl_Datos[[#This Row],[Precio Unitario]]</f>
        <v>1676200</v>
      </c>
      <c r="L41" s="3" cm="1">
        <f t="array" ref="L41">_xlfn.IFS(F41="Camas",J41*68%,F41="Comederos",J41*60%,F41="Higiene",J41*55%,F41="Juguetes",J41*62%,F41="Transporte",J41*72%)</f>
        <v>35496</v>
      </c>
      <c r="M41" s="3">
        <f t="shared" si="0"/>
        <v>1206864</v>
      </c>
      <c r="N41" s="3">
        <f t="shared" si="1"/>
        <v>469336</v>
      </c>
      <c r="O41" s="16">
        <f t="shared" si="2"/>
        <v>0.28000000000000003</v>
      </c>
    </row>
    <row r="42" spans="1:15" x14ac:dyDescent="0.25">
      <c r="A42" s="1" t="s">
        <v>84</v>
      </c>
      <c r="B42" s="5">
        <v>46047</v>
      </c>
      <c r="C42" s="1" t="s">
        <v>32</v>
      </c>
      <c r="D42" s="1" t="s">
        <v>15</v>
      </c>
      <c r="E42" s="1" t="s">
        <v>53</v>
      </c>
      <c r="F42" s="1" t="s">
        <v>4</v>
      </c>
      <c r="G42" s="1" t="s">
        <v>38</v>
      </c>
      <c r="H42" s="1" t="s">
        <v>24</v>
      </c>
      <c r="I42" s="1">
        <v>77</v>
      </c>
      <c r="J42" s="3">
        <v>8400</v>
      </c>
      <c r="K42" s="3">
        <f>Tbl_Datos[[#This Row],[Unidades]]*Tbl_Datos[[#This Row],[Precio Unitario]]</f>
        <v>646800</v>
      </c>
      <c r="L42" s="3" cm="1">
        <f t="array" ref="L42">_xlfn.IFS(F42="Camas",J42*68%,F42="Comederos",J42*60%,F42="Higiene",J42*55%,F42="Juguetes",J42*62%,F42="Transporte",J42*72%)</f>
        <v>5040</v>
      </c>
      <c r="M42" s="3">
        <f t="shared" si="0"/>
        <v>388080</v>
      </c>
      <c r="N42" s="3">
        <f t="shared" si="1"/>
        <v>258720</v>
      </c>
      <c r="O42" s="16">
        <f t="shared" si="2"/>
        <v>0.4</v>
      </c>
    </row>
    <row r="43" spans="1:15" x14ac:dyDescent="0.25">
      <c r="A43" s="1" t="s">
        <v>85</v>
      </c>
      <c r="B43" s="5">
        <v>46128</v>
      </c>
      <c r="C43" s="1" t="s">
        <v>47</v>
      </c>
      <c r="D43" s="1" t="s">
        <v>15</v>
      </c>
      <c r="E43" s="1" t="s">
        <v>3</v>
      </c>
      <c r="F43" s="1" t="s">
        <v>11</v>
      </c>
      <c r="G43" s="1" t="s">
        <v>28</v>
      </c>
      <c r="H43" s="1" t="s">
        <v>19</v>
      </c>
      <c r="I43" s="1">
        <v>50</v>
      </c>
      <c r="J43" s="3">
        <v>14300</v>
      </c>
      <c r="K43" s="3">
        <f>Tbl_Datos[[#This Row],[Unidades]]*Tbl_Datos[[#This Row],[Precio Unitario]]</f>
        <v>715000</v>
      </c>
      <c r="L43" s="3" cm="1">
        <f t="array" ref="L43">_xlfn.IFS(F43="Camas",J43*68%,F43="Comederos",J43*60%,F43="Higiene",J43*55%,F43="Juguetes",J43*62%,F43="Transporte",J43*72%)</f>
        <v>9724</v>
      </c>
      <c r="M43" s="3">
        <f t="shared" si="0"/>
        <v>486200</v>
      </c>
      <c r="N43" s="3">
        <f t="shared" si="1"/>
        <v>228800</v>
      </c>
      <c r="O43" s="16">
        <f t="shared" si="2"/>
        <v>0.32</v>
      </c>
    </row>
    <row r="44" spans="1:15" x14ac:dyDescent="0.25">
      <c r="A44" s="1" t="s">
        <v>86</v>
      </c>
      <c r="B44" s="5">
        <v>46039</v>
      </c>
      <c r="C44" s="1" t="s">
        <v>32</v>
      </c>
      <c r="D44" s="1" t="s">
        <v>21</v>
      </c>
      <c r="E44" s="1" t="s">
        <v>53</v>
      </c>
      <c r="F44" s="1" t="s">
        <v>17</v>
      </c>
      <c r="G44" s="1" t="s">
        <v>74</v>
      </c>
      <c r="H44" s="1" t="s">
        <v>6</v>
      </c>
      <c r="I44" s="1">
        <v>45</v>
      </c>
      <c r="J44" s="3">
        <v>10400</v>
      </c>
      <c r="K44" s="3">
        <f>Tbl_Datos[[#This Row],[Unidades]]*Tbl_Datos[[#This Row],[Precio Unitario]]</f>
        <v>468000</v>
      </c>
      <c r="L44" s="3" cm="1">
        <f t="array" ref="L44">_xlfn.IFS(F44="Camas",J44*68%,F44="Comederos",J44*60%,F44="Higiene",J44*55%,F44="Juguetes",J44*62%,F44="Transporte",J44*72%)</f>
        <v>6448</v>
      </c>
      <c r="M44" s="3">
        <f t="shared" si="0"/>
        <v>290160</v>
      </c>
      <c r="N44" s="3">
        <f t="shared" si="1"/>
        <v>177840</v>
      </c>
      <c r="O44" s="16">
        <f t="shared" si="2"/>
        <v>0.38</v>
      </c>
    </row>
    <row r="45" spans="1:15" x14ac:dyDescent="0.25">
      <c r="A45" s="1" t="s">
        <v>87</v>
      </c>
      <c r="B45" s="5">
        <v>46065</v>
      </c>
      <c r="C45" s="1" t="s">
        <v>1</v>
      </c>
      <c r="D45" s="1" t="s">
        <v>27</v>
      </c>
      <c r="E45" s="1" t="s">
        <v>3</v>
      </c>
      <c r="F45" s="1" t="s">
        <v>4</v>
      </c>
      <c r="G45" s="1" t="s">
        <v>38</v>
      </c>
      <c r="H45" s="1" t="s">
        <v>19</v>
      </c>
      <c r="I45" s="1">
        <v>24</v>
      </c>
      <c r="J45" s="3">
        <v>7600</v>
      </c>
      <c r="K45" s="3">
        <f>Tbl_Datos[[#This Row],[Unidades]]*Tbl_Datos[[#This Row],[Precio Unitario]]</f>
        <v>182400</v>
      </c>
      <c r="L45" s="3" cm="1">
        <f t="array" ref="L45">_xlfn.IFS(F45="Camas",J45*68%,F45="Comederos",J45*60%,F45="Higiene",J45*55%,F45="Juguetes",J45*62%,F45="Transporte",J45*72%)</f>
        <v>4560</v>
      </c>
      <c r="M45" s="3">
        <f t="shared" si="0"/>
        <v>109440</v>
      </c>
      <c r="N45" s="3">
        <f t="shared" si="1"/>
        <v>72960</v>
      </c>
      <c r="O45" s="16">
        <f t="shared" si="2"/>
        <v>0.4</v>
      </c>
    </row>
    <row r="46" spans="1:15" x14ac:dyDescent="0.25">
      <c r="A46" s="1" t="s">
        <v>88</v>
      </c>
      <c r="B46" s="5">
        <v>46256</v>
      </c>
      <c r="C46" s="1" t="s">
        <v>8</v>
      </c>
      <c r="D46" s="1" t="s">
        <v>2</v>
      </c>
      <c r="E46" s="1" t="s">
        <v>3</v>
      </c>
      <c r="F46" s="1" t="s">
        <v>42</v>
      </c>
      <c r="G46" s="1" t="s">
        <v>49</v>
      </c>
      <c r="H46" s="1" t="s">
        <v>6</v>
      </c>
      <c r="I46" s="1">
        <v>38</v>
      </c>
      <c r="J46" s="3">
        <v>3400</v>
      </c>
      <c r="K46" s="3">
        <f>Tbl_Datos[[#This Row],[Unidades]]*Tbl_Datos[[#This Row],[Precio Unitario]]</f>
        <v>129200</v>
      </c>
      <c r="L46" s="3" cm="1">
        <f t="array" ref="L46">_xlfn.IFS(F46="Camas",J46*68%,F46="Comederos",J46*60%,F46="Higiene",J46*55%,F46="Juguetes",J46*62%,F46="Transporte",J46*72%)</f>
        <v>1870.0000000000002</v>
      </c>
      <c r="M46" s="3">
        <f t="shared" si="0"/>
        <v>71060.000000000015</v>
      </c>
      <c r="N46" s="3">
        <f t="shared" si="1"/>
        <v>58139.999999999985</v>
      </c>
      <c r="O46" s="16">
        <f t="shared" si="2"/>
        <v>0.4499999999999999</v>
      </c>
    </row>
    <row r="47" spans="1:15" x14ac:dyDescent="0.25">
      <c r="A47" s="1" t="s">
        <v>89</v>
      </c>
      <c r="B47" s="5">
        <v>46207</v>
      </c>
      <c r="C47" s="1" t="s">
        <v>52</v>
      </c>
      <c r="D47" s="1" t="s">
        <v>15</v>
      </c>
      <c r="E47" s="1" t="s">
        <v>3</v>
      </c>
      <c r="F47" s="1" t="s">
        <v>22</v>
      </c>
      <c r="G47" s="1" t="s">
        <v>55</v>
      </c>
      <c r="H47" s="1" t="s">
        <v>19</v>
      </c>
      <c r="I47" s="1">
        <v>43</v>
      </c>
      <c r="J47" s="3">
        <v>38200</v>
      </c>
      <c r="K47" s="3">
        <f>Tbl_Datos[[#This Row],[Unidades]]*Tbl_Datos[[#This Row],[Precio Unitario]]</f>
        <v>1642600</v>
      </c>
      <c r="L47" s="3" cm="1">
        <f t="array" ref="L47">_xlfn.IFS(F47="Camas",J47*68%,F47="Comederos",J47*60%,F47="Higiene",J47*55%,F47="Juguetes",J47*62%,F47="Transporte",J47*72%)</f>
        <v>27504</v>
      </c>
      <c r="M47" s="3">
        <f t="shared" si="0"/>
        <v>1182672</v>
      </c>
      <c r="N47" s="3">
        <f t="shared" si="1"/>
        <v>459928</v>
      </c>
      <c r="O47" s="16">
        <f t="shared" si="2"/>
        <v>0.28000000000000003</v>
      </c>
    </row>
    <row r="48" spans="1:15" x14ac:dyDescent="0.25">
      <c r="A48" s="1" t="s">
        <v>90</v>
      </c>
      <c r="B48" s="5">
        <v>46140</v>
      </c>
      <c r="C48" s="1" t="s">
        <v>47</v>
      </c>
      <c r="D48" s="1" t="s">
        <v>2</v>
      </c>
      <c r="E48" s="1" t="s">
        <v>36</v>
      </c>
      <c r="F48" s="1" t="s">
        <v>22</v>
      </c>
      <c r="G48" s="1" t="s">
        <v>40</v>
      </c>
      <c r="H48" s="1" t="s">
        <v>24</v>
      </c>
      <c r="I48" s="1">
        <v>65</v>
      </c>
      <c r="J48" s="3">
        <v>30000</v>
      </c>
      <c r="K48" s="3">
        <f>Tbl_Datos[[#This Row],[Unidades]]*Tbl_Datos[[#This Row],[Precio Unitario]]</f>
        <v>1950000</v>
      </c>
      <c r="L48" s="3" cm="1">
        <f t="array" ref="L48">_xlfn.IFS(F48="Camas",J48*68%,F48="Comederos",J48*60%,F48="Higiene",J48*55%,F48="Juguetes",J48*62%,F48="Transporte",J48*72%)</f>
        <v>21600</v>
      </c>
      <c r="M48" s="3">
        <f t="shared" si="0"/>
        <v>1404000</v>
      </c>
      <c r="N48" s="3">
        <f t="shared" si="1"/>
        <v>546000</v>
      </c>
      <c r="O48" s="16">
        <f t="shared" si="2"/>
        <v>0.28000000000000003</v>
      </c>
    </row>
    <row r="49" spans="1:15" x14ac:dyDescent="0.25">
      <c r="A49" s="1" t="s">
        <v>91</v>
      </c>
      <c r="B49" s="5">
        <v>46158</v>
      </c>
      <c r="C49" s="1" t="s">
        <v>14</v>
      </c>
      <c r="D49" s="1" t="s">
        <v>9</v>
      </c>
      <c r="E49" s="1" t="s">
        <v>3</v>
      </c>
      <c r="F49" s="1" t="s">
        <v>42</v>
      </c>
      <c r="G49" s="1" t="s">
        <v>49</v>
      </c>
      <c r="H49" s="1" t="s">
        <v>19</v>
      </c>
      <c r="I49" s="1">
        <v>51</v>
      </c>
      <c r="J49" s="3">
        <v>3300</v>
      </c>
      <c r="K49" s="3">
        <f>Tbl_Datos[[#This Row],[Unidades]]*Tbl_Datos[[#This Row],[Precio Unitario]]</f>
        <v>168300</v>
      </c>
      <c r="L49" s="3" cm="1">
        <f t="array" ref="L49">_xlfn.IFS(F49="Camas",J49*68%,F49="Comederos",J49*60%,F49="Higiene",J49*55%,F49="Juguetes",J49*62%,F49="Transporte",J49*72%)</f>
        <v>1815.0000000000002</v>
      </c>
      <c r="M49" s="3">
        <f t="shared" si="0"/>
        <v>92565.000000000015</v>
      </c>
      <c r="N49" s="3">
        <f t="shared" si="1"/>
        <v>75734.999999999985</v>
      </c>
      <c r="O49" s="16">
        <f t="shared" si="2"/>
        <v>0.4499999999999999</v>
      </c>
    </row>
    <row r="50" spans="1:15" x14ac:dyDescent="0.25">
      <c r="A50" s="1" t="s">
        <v>92</v>
      </c>
      <c r="B50" s="5">
        <v>46076</v>
      </c>
      <c r="C50" s="1" t="s">
        <v>1</v>
      </c>
      <c r="D50" s="1" t="s">
        <v>9</v>
      </c>
      <c r="E50" s="1" t="s">
        <v>16</v>
      </c>
      <c r="F50" s="1" t="s">
        <v>11</v>
      </c>
      <c r="G50" s="1" t="s">
        <v>12</v>
      </c>
      <c r="H50" s="1" t="s">
        <v>6</v>
      </c>
      <c r="I50" s="1">
        <v>31</v>
      </c>
      <c r="J50" s="3">
        <v>18900</v>
      </c>
      <c r="K50" s="3">
        <f>Tbl_Datos[[#This Row],[Unidades]]*Tbl_Datos[[#This Row],[Precio Unitario]]</f>
        <v>585900</v>
      </c>
      <c r="L50" s="3" cm="1">
        <f t="array" ref="L50">_xlfn.IFS(F50="Camas",J50*68%,F50="Comederos",J50*60%,F50="Higiene",J50*55%,F50="Juguetes",J50*62%,F50="Transporte",J50*72%)</f>
        <v>12852.000000000002</v>
      </c>
      <c r="M50" s="3">
        <f t="shared" si="0"/>
        <v>398412.00000000006</v>
      </c>
      <c r="N50" s="3">
        <f t="shared" si="1"/>
        <v>187487.99999999994</v>
      </c>
      <c r="O50" s="16">
        <f t="shared" si="2"/>
        <v>0.3199999999999999</v>
      </c>
    </row>
    <row r="51" spans="1:15" x14ac:dyDescent="0.25">
      <c r="A51" s="1" t="s">
        <v>93</v>
      </c>
      <c r="B51" s="5">
        <v>46057</v>
      </c>
      <c r="C51" s="1" t="s">
        <v>1</v>
      </c>
      <c r="D51" s="1" t="s">
        <v>27</v>
      </c>
      <c r="E51" s="1" t="s">
        <v>53</v>
      </c>
      <c r="F51" s="1" t="s">
        <v>11</v>
      </c>
      <c r="G51" s="1" t="s">
        <v>30</v>
      </c>
      <c r="H51" s="1" t="s">
        <v>19</v>
      </c>
      <c r="I51" s="1">
        <v>26</v>
      </c>
      <c r="J51" s="3">
        <v>26700</v>
      </c>
      <c r="K51" s="3">
        <f>Tbl_Datos[[#This Row],[Unidades]]*Tbl_Datos[[#This Row],[Precio Unitario]]</f>
        <v>694200</v>
      </c>
      <c r="L51" s="3" cm="1">
        <f t="array" ref="L51">_xlfn.IFS(F51="Camas",J51*68%,F51="Comederos",J51*60%,F51="Higiene",J51*55%,F51="Juguetes",J51*62%,F51="Transporte",J51*72%)</f>
        <v>18156</v>
      </c>
      <c r="M51" s="3">
        <f t="shared" si="0"/>
        <v>472056</v>
      </c>
      <c r="N51" s="3">
        <f t="shared" si="1"/>
        <v>222144</v>
      </c>
      <c r="O51" s="16">
        <f t="shared" si="2"/>
        <v>0.32</v>
      </c>
    </row>
    <row r="52" spans="1:15" x14ac:dyDescent="0.25">
      <c r="A52" s="1" t="s">
        <v>94</v>
      </c>
      <c r="B52" s="5">
        <v>46263</v>
      </c>
      <c r="C52" s="1" t="s">
        <v>8</v>
      </c>
      <c r="D52" s="1" t="s">
        <v>2</v>
      </c>
      <c r="E52" s="1" t="s">
        <v>53</v>
      </c>
      <c r="F52" s="1" t="s">
        <v>42</v>
      </c>
      <c r="G52" s="1" t="s">
        <v>49</v>
      </c>
      <c r="H52" s="1" t="s">
        <v>19</v>
      </c>
      <c r="I52" s="1">
        <v>33</v>
      </c>
      <c r="J52" s="3">
        <v>3500</v>
      </c>
      <c r="K52" s="3">
        <f>Tbl_Datos[[#This Row],[Unidades]]*Tbl_Datos[[#This Row],[Precio Unitario]]</f>
        <v>115500</v>
      </c>
      <c r="L52" s="3" cm="1">
        <f t="array" ref="L52">_xlfn.IFS(F52="Camas",J52*68%,F52="Comederos",J52*60%,F52="Higiene",J52*55%,F52="Juguetes",J52*62%,F52="Transporte",J52*72%)</f>
        <v>1925.0000000000002</v>
      </c>
      <c r="M52" s="3">
        <f t="shared" si="0"/>
        <v>63525.000000000007</v>
      </c>
      <c r="N52" s="3">
        <f t="shared" si="1"/>
        <v>51974.999999999993</v>
      </c>
      <c r="O52" s="16">
        <f t="shared" si="2"/>
        <v>0.44999999999999996</v>
      </c>
    </row>
    <row r="53" spans="1:15" x14ac:dyDescent="0.25">
      <c r="A53" s="1" t="s">
        <v>95</v>
      </c>
      <c r="B53" s="5">
        <v>46178</v>
      </c>
      <c r="C53" s="1" t="s">
        <v>45</v>
      </c>
      <c r="D53" s="1" t="s">
        <v>27</v>
      </c>
      <c r="E53" s="1" t="s">
        <v>16</v>
      </c>
      <c r="F53" s="1" t="s">
        <v>22</v>
      </c>
      <c r="G53" s="1" t="s">
        <v>55</v>
      </c>
      <c r="H53" s="1" t="s">
        <v>19</v>
      </c>
      <c r="I53" s="1">
        <v>9</v>
      </c>
      <c r="J53" s="3">
        <v>36000</v>
      </c>
      <c r="K53" s="3">
        <f>Tbl_Datos[[#This Row],[Unidades]]*Tbl_Datos[[#This Row],[Precio Unitario]]</f>
        <v>324000</v>
      </c>
      <c r="L53" s="3" cm="1">
        <f t="array" ref="L53">_xlfn.IFS(F53="Camas",J53*68%,F53="Comederos",J53*60%,F53="Higiene",J53*55%,F53="Juguetes",J53*62%,F53="Transporte",J53*72%)</f>
        <v>25920</v>
      </c>
      <c r="M53" s="3">
        <f t="shared" si="0"/>
        <v>233280</v>
      </c>
      <c r="N53" s="3">
        <f t="shared" si="1"/>
        <v>90720</v>
      </c>
      <c r="O53" s="16">
        <f t="shared" si="2"/>
        <v>0.28000000000000003</v>
      </c>
    </row>
    <row r="54" spans="1:15" x14ac:dyDescent="0.25">
      <c r="A54" s="1" t="s">
        <v>96</v>
      </c>
      <c r="B54" s="5">
        <v>46103</v>
      </c>
      <c r="C54" s="1" t="s">
        <v>26</v>
      </c>
      <c r="D54" s="1" t="s">
        <v>27</v>
      </c>
      <c r="E54" s="1" t="s">
        <v>36</v>
      </c>
      <c r="F54" s="1" t="s">
        <v>17</v>
      </c>
      <c r="G54" s="1" t="s">
        <v>58</v>
      </c>
      <c r="H54" s="1" t="s">
        <v>19</v>
      </c>
      <c r="I54" s="1">
        <v>8</v>
      </c>
      <c r="J54" s="3">
        <v>4300</v>
      </c>
      <c r="K54" s="3">
        <f>Tbl_Datos[[#This Row],[Unidades]]*Tbl_Datos[[#This Row],[Precio Unitario]]</f>
        <v>34400</v>
      </c>
      <c r="L54" s="3" cm="1">
        <f t="array" ref="L54">_xlfn.IFS(F54="Camas",J54*68%,F54="Comederos",J54*60%,F54="Higiene",J54*55%,F54="Juguetes",J54*62%,F54="Transporte",J54*72%)</f>
        <v>2666</v>
      </c>
      <c r="M54" s="3">
        <f t="shared" si="0"/>
        <v>21328</v>
      </c>
      <c r="N54" s="3">
        <f t="shared" si="1"/>
        <v>13072</v>
      </c>
      <c r="O54" s="16">
        <f t="shared" si="2"/>
        <v>0.38</v>
      </c>
    </row>
    <row r="55" spans="1:15" x14ac:dyDescent="0.25">
      <c r="A55" s="1" t="s">
        <v>97</v>
      </c>
      <c r="B55" s="5">
        <v>46153</v>
      </c>
      <c r="C55" s="1" t="s">
        <v>14</v>
      </c>
      <c r="D55" s="1" t="s">
        <v>15</v>
      </c>
      <c r="E55" s="1" t="s">
        <v>53</v>
      </c>
      <c r="F55" s="1" t="s">
        <v>22</v>
      </c>
      <c r="G55" s="1" t="s">
        <v>55</v>
      </c>
      <c r="H55" s="1" t="s">
        <v>19</v>
      </c>
      <c r="I55" s="1">
        <v>35</v>
      </c>
      <c r="J55" s="3">
        <v>36900</v>
      </c>
      <c r="K55" s="3">
        <f>Tbl_Datos[[#This Row],[Unidades]]*Tbl_Datos[[#This Row],[Precio Unitario]]</f>
        <v>1291500</v>
      </c>
      <c r="L55" s="3" cm="1">
        <f t="array" ref="L55">_xlfn.IFS(F55="Camas",J55*68%,F55="Comederos",J55*60%,F55="Higiene",J55*55%,F55="Juguetes",J55*62%,F55="Transporte",J55*72%)</f>
        <v>26568</v>
      </c>
      <c r="M55" s="3">
        <f t="shared" si="0"/>
        <v>929880</v>
      </c>
      <c r="N55" s="3">
        <f t="shared" si="1"/>
        <v>361620</v>
      </c>
      <c r="O55" s="16">
        <f t="shared" si="2"/>
        <v>0.28000000000000003</v>
      </c>
    </row>
    <row r="56" spans="1:15" x14ac:dyDescent="0.25">
      <c r="A56" s="1" t="s">
        <v>98</v>
      </c>
      <c r="B56" s="5">
        <v>46030</v>
      </c>
      <c r="C56" s="1" t="s">
        <v>32</v>
      </c>
      <c r="D56" s="1" t="s">
        <v>9</v>
      </c>
      <c r="E56" s="1" t="s">
        <v>53</v>
      </c>
      <c r="F56" s="1" t="s">
        <v>17</v>
      </c>
      <c r="G56" s="1" t="s">
        <v>74</v>
      </c>
      <c r="H56" s="1" t="s">
        <v>19</v>
      </c>
      <c r="I56" s="1">
        <v>20</v>
      </c>
      <c r="J56" s="3">
        <v>10400</v>
      </c>
      <c r="K56" s="3">
        <f>Tbl_Datos[[#This Row],[Unidades]]*Tbl_Datos[[#This Row],[Precio Unitario]]</f>
        <v>208000</v>
      </c>
      <c r="L56" s="3" cm="1">
        <f t="array" ref="L56">_xlfn.IFS(F56="Camas",J56*68%,F56="Comederos",J56*60%,F56="Higiene",J56*55%,F56="Juguetes",J56*62%,F56="Transporte",J56*72%)</f>
        <v>6448</v>
      </c>
      <c r="M56" s="3">
        <f t="shared" si="0"/>
        <v>128960</v>
      </c>
      <c r="N56" s="3">
        <f t="shared" si="1"/>
        <v>79040</v>
      </c>
      <c r="O56" s="16">
        <f t="shared" si="2"/>
        <v>0.38</v>
      </c>
    </row>
    <row r="57" spans="1:15" x14ac:dyDescent="0.25">
      <c r="A57" s="1" t="s">
        <v>99</v>
      </c>
      <c r="B57" s="5">
        <v>46057</v>
      </c>
      <c r="C57" s="1" t="s">
        <v>1</v>
      </c>
      <c r="D57" s="1" t="s">
        <v>27</v>
      </c>
      <c r="E57" s="1" t="s">
        <v>53</v>
      </c>
      <c r="F57" s="1" t="s">
        <v>11</v>
      </c>
      <c r="G57" s="1" t="s">
        <v>30</v>
      </c>
      <c r="H57" s="1" t="s">
        <v>24</v>
      </c>
      <c r="I57" s="1">
        <v>38</v>
      </c>
      <c r="J57" s="3">
        <v>25700</v>
      </c>
      <c r="K57" s="3">
        <f>Tbl_Datos[[#This Row],[Unidades]]*Tbl_Datos[[#This Row],[Precio Unitario]]</f>
        <v>976600</v>
      </c>
      <c r="L57" s="3" cm="1">
        <f t="array" ref="L57">_xlfn.IFS(F57="Camas",J57*68%,F57="Comederos",J57*60%,F57="Higiene",J57*55%,F57="Juguetes",J57*62%,F57="Transporte",J57*72%)</f>
        <v>17476</v>
      </c>
      <c r="M57" s="3">
        <f t="shared" si="0"/>
        <v>664088</v>
      </c>
      <c r="N57" s="3">
        <f t="shared" si="1"/>
        <v>312512</v>
      </c>
      <c r="O57" s="16">
        <f t="shared" si="2"/>
        <v>0.32</v>
      </c>
    </row>
    <row r="58" spans="1:15" x14ac:dyDescent="0.25">
      <c r="A58" s="1" t="s">
        <v>100</v>
      </c>
      <c r="B58" s="5">
        <v>46261</v>
      </c>
      <c r="C58" s="1" t="s">
        <v>8</v>
      </c>
      <c r="D58" s="1" t="s">
        <v>2</v>
      </c>
      <c r="E58" s="1" t="s">
        <v>3</v>
      </c>
      <c r="F58" s="1" t="s">
        <v>42</v>
      </c>
      <c r="G58" s="1" t="s">
        <v>49</v>
      </c>
      <c r="H58" s="1" t="s">
        <v>19</v>
      </c>
      <c r="I58" s="1">
        <v>39</v>
      </c>
      <c r="J58" s="3">
        <v>3300</v>
      </c>
      <c r="K58" s="3">
        <f>Tbl_Datos[[#This Row],[Unidades]]*Tbl_Datos[[#This Row],[Precio Unitario]]</f>
        <v>128700</v>
      </c>
      <c r="L58" s="3" cm="1">
        <f t="array" ref="L58">_xlfn.IFS(F58="Camas",J58*68%,F58="Comederos",J58*60%,F58="Higiene",J58*55%,F58="Juguetes",J58*62%,F58="Transporte",J58*72%)</f>
        <v>1815.0000000000002</v>
      </c>
      <c r="M58" s="3">
        <f t="shared" si="0"/>
        <v>70785.000000000015</v>
      </c>
      <c r="N58" s="3">
        <f t="shared" si="1"/>
        <v>57914.999999999985</v>
      </c>
      <c r="O58" s="16">
        <f t="shared" si="2"/>
        <v>0.4499999999999999</v>
      </c>
    </row>
    <row r="59" spans="1:15" x14ac:dyDescent="0.25">
      <c r="A59" s="1" t="s">
        <v>101</v>
      </c>
      <c r="B59" s="5">
        <v>46096</v>
      </c>
      <c r="C59" s="1" t="s">
        <v>26</v>
      </c>
      <c r="D59" s="1" t="s">
        <v>21</v>
      </c>
      <c r="E59" s="1" t="s">
        <v>3</v>
      </c>
      <c r="F59" s="1" t="s">
        <v>42</v>
      </c>
      <c r="G59" s="1" t="s">
        <v>65</v>
      </c>
      <c r="H59" s="1" t="s">
        <v>19</v>
      </c>
      <c r="I59" s="1">
        <v>28</v>
      </c>
      <c r="J59" s="3">
        <v>6200</v>
      </c>
      <c r="K59" s="3">
        <f>Tbl_Datos[[#This Row],[Unidades]]*Tbl_Datos[[#This Row],[Precio Unitario]]</f>
        <v>173600</v>
      </c>
      <c r="L59" s="3" cm="1">
        <f t="array" ref="L59">_xlfn.IFS(F59="Camas",J59*68%,F59="Comederos",J59*60%,F59="Higiene",J59*55%,F59="Juguetes",J59*62%,F59="Transporte",J59*72%)</f>
        <v>3410.0000000000005</v>
      </c>
      <c r="M59" s="3">
        <f t="shared" si="0"/>
        <v>95480.000000000015</v>
      </c>
      <c r="N59" s="3">
        <f t="shared" si="1"/>
        <v>78119.999999999985</v>
      </c>
      <c r="O59" s="16">
        <f t="shared" si="2"/>
        <v>0.4499999999999999</v>
      </c>
    </row>
    <row r="60" spans="1:15" x14ac:dyDescent="0.25">
      <c r="A60" s="1" t="s">
        <v>102</v>
      </c>
      <c r="B60" s="5">
        <v>46149</v>
      </c>
      <c r="C60" s="1" t="s">
        <v>14</v>
      </c>
      <c r="D60" s="1" t="s">
        <v>21</v>
      </c>
      <c r="E60" s="1" t="s">
        <v>10</v>
      </c>
      <c r="F60" s="1" t="s">
        <v>17</v>
      </c>
      <c r="G60" s="1" t="s">
        <v>18</v>
      </c>
      <c r="H60" s="1" t="s">
        <v>19</v>
      </c>
      <c r="I60" s="1">
        <v>5</v>
      </c>
      <c r="J60" s="3">
        <v>3000</v>
      </c>
      <c r="K60" s="3">
        <f>Tbl_Datos[[#This Row],[Unidades]]*Tbl_Datos[[#This Row],[Precio Unitario]]</f>
        <v>15000</v>
      </c>
      <c r="L60" s="3" cm="1">
        <f t="array" ref="L60">_xlfn.IFS(F60="Camas",J60*68%,F60="Comederos",J60*60%,F60="Higiene",J60*55%,F60="Juguetes",J60*62%,F60="Transporte",J60*72%)</f>
        <v>1860</v>
      </c>
      <c r="M60" s="3">
        <f t="shared" si="0"/>
        <v>9300</v>
      </c>
      <c r="N60" s="3">
        <f t="shared" si="1"/>
        <v>5700</v>
      </c>
      <c r="O60" s="16">
        <f t="shared" si="2"/>
        <v>0.38</v>
      </c>
    </row>
    <row r="61" spans="1:15" x14ac:dyDescent="0.25">
      <c r="A61" s="1" t="s">
        <v>103</v>
      </c>
      <c r="B61" s="5">
        <v>46142</v>
      </c>
      <c r="C61" s="1" t="s">
        <v>47</v>
      </c>
      <c r="D61" s="1" t="s">
        <v>9</v>
      </c>
      <c r="E61" s="1" t="s">
        <v>16</v>
      </c>
      <c r="F61" s="1" t="s">
        <v>42</v>
      </c>
      <c r="G61" s="1" t="s">
        <v>49</v>
      </c>
      <c r="H61" s="1" t="s">
        <v>19</v>
      </c>
      <c r="I61" s="1">
        <v>12</v>
      </c>
      <c r="J61" s="3">
        <v>3600</v>
      </c>
      <c r="K61" s="3">
        <f>Tbl_Datos[[#This Row],[Unidades]]*Tbl_Datos[[#This Row],[Precio Unitario]]</f>
        <v>43200</v>
      </c>
      <c r="L61" s="3" cm="1">
        <f t="array" ref="L61">_xlfn.IFS(F61="Camas",J61*68%,F61="Comederos",J61*60%,F61="Higiene",J61*55%,F61="Juguetes",J61*62%,F61="Transporte",J61*72%)</f>
        <v>1980.0000000000002</v>
      </c>
      <c r="M61" s="3">
        <f t="shared" si="0"/>
        <v>23760.000000000004</v>
      </c>
      <c r="N61" s="3">
        <f t="shared" si="1"/>
        <v>19439.999999999996</v>
      </c>
      <c r="O61" s="16">
        <f t="shared" si="2"/>
        <v>0.4499999999999999</v>
      </c>
    </row>
    <row r="62" spans="1:15" x14ac:dyDescent="0.25">
      <c r="A62" s="1" t="s">
        <v>104</v>
      </c>
      <c r="B62" s="5">
        <v>46057</v>
      </c>
      <c r="C62" s="1" t="s">
        <v>1</v>
      </c>
      <c r="D62" s="1" t="s">
        <v>9</v>
      </c>
      <c r="E62" s="1" t="s">
        <v>16</v>
      </c>
      <c r="F62" s="1" t="s">
        <v>22</v>
      </c>
      <c r="G62" s="1" t="s">
        <v>55</v>
      </c>
      <c r="H62" s="1" t="s">
        <v>19</v>
      </c>
      <c r="I62" s="1">
        <v>28</v>
      </c>
      <c r="J62" s="3">
        <v>37000</v>
      </c>
      <c r="K62" s="3">
        <f>Tbl_Datos[[#This Row],[Unidades]]*Tbl_Datos[[#This Row],[Precio Unitario]]</f>
        <v>1036000</v>
      </c>
      <c r="L62" s="3" cm="1">
        <f t="array" ref="L62">_xlfn.IFS(F62="Camas",J62*68%,F62="Comederos",J62*60%,F62="Higiene",J62*55%,F62="Juguetes",J62*62%,F62="Transporte",J62*72%)</f>
        <v>26640</v>
      </c>
      <c r="M62" s="3">
        <f t="shared" si="0"/>
        <v>745920</v>
      </c>
      <c r="N62" s="3">
        <f t="shared" si="1"/>
        <v>290080</v>
      </c>
      <c r="O62" s="16">
        <f t="shared" si="2"/>
        <v>0.28000000000000003</v>
      </c>
    </row>
    <row r="63" spans="1:15" x14ac:dyDescent="0.25">
      <c r="A63" s="1" t="s">
        <v>105</v>
      </c>
      <c r="B63" s="5">
        <v>46058</v>
      </c>
      <c r="C63" s="1" t="s">
        <v>1</v>
      </c>
      <c r="D63" s="1" t="s">
        <v>2</v>
      </c>
      <c r="E63" s="1" t="s">
        <v>36</v>
      </c>
      <c r="F63" s="1" t="s">
        <v>11</v>
      </c>
      <c r="G63" s="1" t="s">
        <v>12</v>
      </c>
      <c r="H63" s="1" t="s">
        <v>19</v>
      </c>
      <c r="I63" s="1">
        <v>5</v>
      </c>
      <c r="J63" s="3">
        <v>19100</v>
      </c>
      <c r="K63" s="3">
        <f>Tbl_Datos[[#This Row],[Unidades]]*Tbl_Datos[[#This Row],[Precio Unitario]]</f>
        <v>95500</v>
      </c>
      <c r="L63" s="3" cm="1">
        <f t="array" ref="L63">_xlfn.IFS(F63="Camas",J63*68%,F63="Comederos",J63*60%,F63="Higiene",J63*55%,F63="Juguetes",J63*62%,F63="Transporte",J63*72%)</f>
        <v>12988.000000000002</v>
      </c>
      <c r="M63" s="3">
        <f t="shared" si="0"/>
        <v>64940.000000000007</v>
      </c>
      <c r="N63" s="3">
        <f t="shared" si="1"/>
        <v>30559.999999999993</v>
      </c>
      <c r="O63" s="16">
        <f t="shared" si="2"/>
        <v>0.31999999999999995</v>
      </c>
    </row>
    <row r="64" spans="1:15" x14ac:dyDescent="0.25">
      <c r="A64" s="1" t="s">
        <v>106</v>
      </c>
      <c r="B64" s="5">
        <v>46183</v>
      </c>
      <c r="C64" s="1" t="s">
        <v>45</v>
      </c>
      <c r="D64" s="1" t="s">
        <v>27</v>
      </c>
      <c r="E64" s="1" t="s">
        <v>53</v>
      </c>
      <c r="F64" s="1" t="s">
        <v>22</v>
      </c>
      <c r="G64" s="1" t="s">
        <v>40</v>
      </c>
      <c r="H64" s="1" t="s">
        <v>24</v>
      </c>
      <c r="I64" s="1">
        <v>50</v>
      </c>
      <c r="J64" s="3">
        <v>28000</v>
      </c>
      <c r="K64" s="3">
        <f>Tbl_Datos[[#This Row],[Unidades]]*Tbl_Datos[[#This Row],[Precio Unitario]]</f>
        <v>1400000</v>
      </c>
      <c r="L64" s="3" cm="1">
        <f t="array" ref="L64">_xlfn.IFS(F64="Camas",J64*68%,F64="Comederos",J64*60%,F64="Higiene",J64*55%,F64="Juguetes",J64*62%,F64="Transporte",J64*72%)</f>
        <v>20160</v>
      </c>
      <c r="M64" s="3">
        <f t="shared" si="0"/>
        <v>1008000</v>
      </c>
      <c r="N64" s="3">
        <f t="shared" si="1"/>
        <v>392000</v>
      </c>
      <c r="O64" s="16">
        <f t="shared" si="2"/>
        <v>0.28000000000000003</v>
      </c>
    </row>
    <row r="65" spans="1:15" x14ac:dyDescent="0.25">
      <c r="A65" s="1" t="s">
        <v>107</v>
      </c>
      <c r="B65" s="5">
        <v>46177</v>
      </c>
      <c r="C65" s="1" t="s">
        <v>45</v>
      </c>
      <c r="D65" s="1" t="s">
        <v>21</v>
      </c>
      <c r="E65" s="1" t="s">
        <v>3</v>
      </c>
      <c r="F65" s="1" t="s">
        <v>22</v>
      </c>
      <c r="G65" s="1" t="s">
        <v>40</v>
      </c>
      <c r="H65" s="1" t="s">
        <v>6</v>
      </c>
      <c r="I65" s="1">
        <v>43</v>
      </c>
      <c r="J65" s="3">
        <v>28800</v>
      </c>
      <c r="K65" s="3">
        <f>Tbl_Datos[[#This Row],[Unidades]]*Tbl_Datos[[#This Row],[Precio Unitario]]</f>
        <v>1238400</v>
      </c>
      <c r="L65" s="3" cm="1">
        <f t="array" ref="L65">_xlfn.IFS(F65="Camas",J65*68%,F65="Comederos",J65*60%,F65="Higiene",J65*55%,F65="Juguetes",J65*62%,F65="Transporte",J65*72%)</f>
        <v>20736</v>
      </c>
      <c r="M65" s="3">
        <f t="shared" si="0"/>
        <v>891648</v>
      </c>
      <c r="N65" s="3">
        <f t="shared" si="1"/>
        <v>346752</v>
      </c>
      <c r="O65" s="16">
        <f t="shared" si="2"/>
        <v>0.28000000000000003</v>
      </c>
    </row>
    <row r="66" spans="1:15" x14ac:dyDescent="0.25">
      <c r="A66" s="1" t="s">
        <v>108</v>
      </c>
      <c r="B66" s="5">
        <v>46254</v>
      </c>
      <c r="C66" s="1" t="s">
        <v>8</v>
      </c>
      <c r="D66" s="1" t="s">
        <v>33</v>
      </c>
      <c r="E66" s="1" t="s">
        <v>3</v>
      </c>
      <c r="F66" s="1" t="s">
        <v>17</v>
      </c>
      <c r="G66" s="1" t="s">
        <v>68</v>
      </c>
      <c r="H66" s="1" t="s">
        <v>19</v>
      </c>
      <c r="I66" s="1">
        <v>31</v>
      </c>
      <c r="J66" s="3">
        <v>5300</v>
      </c>
      <c r="K66" s="3">
        <f>Tbl_Datos[[#This Row],[Unidades]]*Tbl_Datos[[#This Row],[Precio Unitario]]</f>
        <v>164300</v>
      </c>
      <c r="L66" s="3" cm="1">
        <f t="array" ref="L66">_xlfn.IFS(F66="Camas",J66*68%,F66="Comederos",J66*60%,F66="Higiene",J66*55%,F66="Juguetes",J66*62%,F66="Transporte",J66*72%)</f>
        <v>3286</v>
      </c>
      <c r="M66" s="3">
        <f t="shared" ref="M66:M129" si="3">I66*L66</f>
        <v>101866</v>
      </c>
      <c r="N66" s="3">
        <f t="shared" ref="N66:N129" si="4">K66-M66</f>
        <v>62434</v>
      </c>
      <c r="O66" s="16">
        <f t="shared" ref="O66:O129" si="5">N66/K66</f>
        <v>0.38</v>
      </c>
    </row>
    <row r="67" spans="1:15" x14ac:dyDescent="0.25">
      <c r="A67" s="1" t="s">
        <v>109</v>
      </c>
      <c r="B67" s="5">
        <v>46068</v>
      </c>
      <c r="C67" s="1" t="s">
        <v>1</v>
      </c>
      <c r="D67" s="1" t="s">
        <v>27</v>
      </c>
      <c r="E67" s="1" t="s">
        <v>53</v>
      </c>
      <c r="F67" s="1" t="s">
        <v>22</v>
      </c>
      <c r="G67" s="1" t="s">
        <v>55</v>
      </c>
      <c r="H67" s="1" t="s">
        <v>19</v>
      </c>
      <c r="I67" s="1">
        <v>11</v>
      </c>
      <c r="J67" s="3">
        <v>38800</v>
      </c>
      <c r="K67" s="3">
        <f>Tbl_Datos[[#This Row],[Unidades]]*Tbl_Datos[[#This Row],[Precio Unitario]]</f>
        <v>426800</v>
      </c>
      <c r="L67" s="3" cm="1">
        <f t="array" ref="L67">_xlfn.IFS(F67="Camas",J67*68%,F67="Comederos",J67*60%,F67="Higiene",J67*55%,F67="Juguetes",J67*62%,F67="Transporte",J67*72%)</f>
        <v>27936</v>
      </c>
      <c r="M67" s="3">
        <f t="shared" si="3"/>
        <v>307296</v>
      </c>
      <c r="N67" s="3">
        <f t="shared" si="4"/>
        <v>119504</v>
      </c>
      <c r="O67" s="16">
        <f t="shared" si="5"/>
        <v>0.28000000000000003</v>
      </c>
    </row>
    <row r="68" spans="1:15" x14ac:dyDescent="0.25">
      <c r="A68" s="1" t="s">
        <v>110</v>
      </c>
      <c r="B68" s="5">
        <v>46152</v>
      </c>
      <c r="C68" s="1" t="s">
        <v>14</v>
      </c>
      <c r="D68" s="1" t="s">
        <v>9</v>
      </c>
      <c r="E68" s="1" t="s">
        <v>3</v>
      </c>
      <c r="F68" s="1" t="s">
        <v>17</v>
      </c>
      <c r="G68" s="1" t="s">
        <v>74</v>
      </c>
      <c r="H68" s="1" t="s">
        <v>6</v>
      </c>
      <c r="I68" s="1">
        <v>40</v>
      </c>
      <c r="J68" s="3">
        <v>9700</v>
      </c>
      <c r="K68" s="3">
        <f>Tbl_Datos[[#This Row],[Unidades]]*Tbl_Datos[[#This Row],[Precio Unitario]]</f>
        <v>388000</v>
      </c>
      <c r="L68" s="3" cm="1">
        <f t="array" ref="L68">_xlfn.IFS(F68="Camas",J68*68%,F68="Comederos",J68*60%,F68="Higiene",J68*55%,F68="Juguetes",J68*62%,F68="Transporte",J68*72%)</f>
        <v>6014</v>
      </c>
      <c r="M68" s="3">
        <f t="shared" si="3"/>
        <v>240560</v>
      </c>
      <c r="N68" s="3">
        <f t="shared" si="4"/>
        <v>147440</v>
      </c>
      <c r="O68" s="16">
        <f t="shared" si="5"/>
        <v>0.38</v>
      </c>
    </row>
    <row r="69" spans="1:15" x14ac:dyDescent="0.25">
      <c r="A69" s="1" t="s">
        <v>111</v>
      </c>
      <c r="B69" s="5">
        <v>46090</v>
      </c>
      <c r="C69" s="1" t="s">
        <v>26</v>
      </c>
      <c r="D69" s="1" t="s">
        <v>33</v>
      </c>
      <c r="E69" s="1" t="s">
        <v>3</v>
      </c>
      <c r="F69" s="1" t="s">
        <v>17</v>
      </c>
      <c r="G69" s="1" t="s">
        <v>68</v>
      </c>
      <c r="H69" s="1" t="s">
        <v>19</v>
      </c>
      <c r="I69" s="1">
        <v>28</v>
      </c>
      <c r="J69" s="3">
        <v>5100</v>
      </c>
      <c r="K69" s="3">
        <f>Tbl_Datos[[#This Row],[Unidades]]*Tbl_Datos[[#This Row],[Precio Unitario]]</f>
        <v>142800</v>
      </c>
      <c r="L69" s="3" cm="1">
        <f t="array" ref="L69">_xlfn.IFS(F69="Camas",J69*68%,F69="Comederos",J69*60%,F69="Higiene",J69*55%,F69="Juguetes",J69*62%,F69="Transporte",J69*72%)</f>
        <v>3162</v>
      </c>
      <c r="M69" s="3">
        <f t="shared" si="3"/>
        <v>88536</v>
      </c>
      <c r="N69" s="3">
        <f t="shared" si="4"/>
        <v>54264</v>
      </c>
      <c r="O69" s="16">
        <f t="shared" si="5"/>
        <v>0.38</v>
      </c>
    </row>
    <row r="70" spans="1:15" x14ac:dyDescent="0.25">
      <c r="A70" s="1" t="s">
        <v>112</v>
      </c>
      <c r="B70" s="5">
        <v>46176</v>
      </c>
      <c r="C70" s="1" t="s">
        <v>45</v>
      </c>
      <c r="D70" s="1" t="s">
        <v>9</v>
      </c>
      <c r="E70" s="1" t="s">
        <v>3</v>
      </c>
      <c r="F70" s="1" t="s">
        <v>17</v>
      </c>
      <c r="G70" s="1" t="s">
        <v>58</v>
      </c>
      <c r="H70" s="1" t="s">
        <v>24</v>
      </c>
      <c r="I70" s="1">
        <v>47</v>
      </c>
      <c r="J70" s="3">
        <v>4100</v>
      </c>
      <c r="K70" s="3">
        <f>Tbl_Datos[[#This Row],[Unidades]]*Tbl_Datos[[#This Row],[Precio Unitario]]</f>
        <v>192700</v>
      </c>
      <c r="L70" s="3" cm="1">
        <f t="array" ref="L70">_xlfn.IFS(F70="Camas",J70*68%,F70="Comederos",J70*60%,F70="Higiene",J70*55%,F70="Juguetes",J70*62%,F70="Transporte",J70*72%)</f>
        <v>2542</v>
      </c>
      <c r="M70" s="3">
        <f t="shared" si="3"/>
        <v>119474</v>
      </c>
      <c r="N70" s="3">
        <f t="shared" si="4"/>
        <v>73226</v>
      </c>
      <c r="O70" s="16">
        <f t="shared" si="5"/>
        <v>0.38</v>
      </c>
    </row>
    <row r="71" spans="1:15" x14ac:dyDescent="0.25">
      <c r="A71" s="1" t="s">
        <v>113</v>
      </c>
      <c r="B71" s="5">
        <v>46213</v>
      </c>
      <c r="C71" s="1" t="s">
        <v>52</v>
      </c>
      <c r="D71" s="1" t="s">
        <v>33</v>
      </c>
      <c r="E71" s="1" t="s">
        <v>3</v>
      </c>
      <c r="F71" s="1" t="s">
        <v>22</v>
      </c>
      <c r="G71" s="1" t="s">
        <v>23</v>
      </c>
      <c r="H71" s="1" t="s">
        <v>6</v>
      </c>
      <c r="I71" s="1">
        <v>31</v>
      </c>
      <c r="J71" s="3">
        <v>50600</v>
      </c>
      <c r="K71" s="3">
        <f>Tbl_Datos[[#This Row],[Unidades]]*Tbl_Datos[[#This Row],[Precio Unitario]]</f>
        <v>1568600</v>
      </c>
      <c r="L71" s="3" cm="1">
        <f t="array" ref="L71">_xlfn.IFS(F71="Camas",J71*68%,F71="Comederos",J71*60%,F71="Higiene",J71*55%,F71="Juguetes",J71*62%,F71="Transporte",J71*72%)</f>
        <v>36432</v>
      </c>
      <c r="M71" s="3">
        <f t="shared" si="3"/>
        <v>1129392</v>
      </c>
      <c r="N71" s="3">
        <f t="shared" si="4"/>
        <v>439208</v>
      </c>
      <c r="O71" s="16">
        <f t="shared" si="5"/>
        <v>0.28000000000000003</v>
      </c>
    </row>
    <row r="72" spans="1:15" x14ac:dyDescent="0.25">
      <c r="A72" s="1" t="s">
        <v>114</v>
      </c>
      <c r="B72" s="5">
        <v>46182</v>
      </c>
      <c r="C72" s="1" t="s">
        <v>45</v>
      </c>
      <c r="D72" s="1" t="s">
        <v>21</v>
      </c>
      <c r="E72" s="1" t="s">
        <v>36</v>
      </c>
      <c r="F72" s="1" t="s">
        <v>4</v>
      </c>
      <c r="G72" s="1" t="s">
        <v>38</v>
      </c>
      <c r="H72" s="1" t="s">
        <v>19</v>
      </c>
      <c r="I72" s="1">
        <v>38</v>
      </c>
      <c r="J72" s="3">
        <v>8500</v>
      </c>
      <c r="K72" s="3">
        <f>Tbl_Datos[[#This Row],[Unidades]]*Tbl_Datos[[#This Row],[Precio Unitario]]</f>
        <v>323000</v>
      </c>
      <c r="L72" s="3" cm="1">
        <f t="array" ref="L72">_xlfn.IFS(F72="Camas",J72*68%,F72="Comederos",J72*60%,F72="Higiene",J72*55%,F72="Juguetes",J72*62%,F72="Transporte",J72*72%)</f>
        <v>5100</v>
      </c>
      <c r="M72" s="3">
        <f t="shared" si="3"/>
        <v>193800</v>
      </c>
      <c r="N72" s="3">
        <f t="shared" si="4"/>
        <v>129200</v>
      </c>
      <c r="O72" s="16">
        <f t="shared" si="5"/>
        <v>0.4</v>
      </c>
    </row>
    <row r="73" spans="1:15" x14ac:dyDescent="0.25">
      <c r="A73" s="1" t="s">
        <v>115</v>
      </c>
      <c r="B73" s="5">
        <v>46136</v>
      </c>
      <c r="C73" s="1" t="s">
        <v>47</v>
      </c>
      <c r="D73" s="1" t="s">
        <v>33</v>
      </c>
      <c r="E73" s="1" t="s">
        <v>36</v>
      </c>
      <c r="F73" s="1" t="s">
        <v>42</v>
      </c>
      <c r="G73" s="1" t="s">
        <v>43</v>
      </c>
      <c r="H73" s="1" t="s">
        <v>6</v>
      </c>
      <c r="I73" s="1">
        <v>48</v>
      </c>
      <c r="J73" s="3">
        <v>12900</v>
      </c>
      <c r="K73" s="3">
        <f>Tbl_Datos[[#This Row],[Unidades]]*Tbl_Datos[[#This Row],[Precio Unitario]]</f>
        <v>619200</v>
      </c>
      <c r="L73" s="3" cm="1">
        <f t="array" ref="L73">_xlfn.IFS(F73="Camas",J73*68%,F73="Comederos",J73*60%,F73="Higiene",J73*55%,F73="Juguetes",J73*62%,F73="Transporte",J73*72%)</f>
        <v>7095.0000000000009</v>
      </c>
      <c r="M73" s="3">
        <f t="shared" si="3"/>
        <v>340560.00000000006</v>
      </c>
      <c r="N73" s="3">
        <f t="shared" si="4"/>
        <v>278639.99999999994</v>
      </c>
      <c r="O73" s="16">
        <f t="shared" si="5"/>
        <v>0.4499999999999999</v>
      </c>
    </row>
    <row r="74" spans="1:15" x14ac:dyDescent="0.25">
      <c r="A74" s="1" t="s">
        <v>116</v>
      </c>
      <c r="B74" s="5">
        <v>46117</v>
      </c>
      <c r="C74" s="1" t="s">
        <v>47</v>
      </c>
      <c r="D74" s="1" t="s">
        <v>21</v>
      </c>
      <c r="E74" s="1" t="s">
        <v>3</v>
      </c>
      <c r="F74" s="1" t="s">
        <v>4</v>
      </c>
      <c r="G74" s="1" t="s">
        <v>38</v>
      </c>
      <c r="H74" s="1" t="s">
        <v>24</v>
      </c>
      <c r="I74" s="1">
        <v>33</v>
      </c>
      <c r="J74" s="3">
        <v>7600</v>
      </c>
      <c r="K74" s="3">
        <f>Tbl_Datos[[#This Row],[Unidades]]*Tbl_Datos[[#This Row],[Precio Unitario]]</f>
        <v>250800</v>
      </c>
      <c r="L74" s="3" cm="1">
        <f t="array" ref="L74">_xlfn.IFS(F74="Camas",J74*68%,F74="Comederos",J74*60%,F74="Higiene",J74*55%,F74="Juguetes",J74*62%,F74="Transporte",J74*72%)</f>
        <v>4560</v>
      </c>
      <c r="M74" s="3">
        <f t="shared" si="3"/>
        <v>150480</v>
      </c>
      <c r="N74" s="3">
        <f t="shared" si="4"/>
        <v>100320</v>
      </c>
      <c r="O74" s="16">
        <f t="shared" si="5"/>
        <v>0.4</v>
      </c>
    </row>
    <row r="75" spans="1:15" x14ac:dyDescent="0.25">
      <c r="A75" s="1" t="s">
        <v>117</v>
      </c>
      <c r="B75" s="5">
        <v>46144</v>
      </c>
      <c r="C75" s="1" t="s">
        <v>14</v>
      </c>
      <c r="D75" s="1" t="s">
        <v>9</v>
      </c>
      <c r="E75" s="1" t="s">
        <v>3</v>
      </c>
      <c r="F75" s="1" t="s">
        <v>11</v>
      </c>
      <c r="G75" s="1" t="s">
        <v>12</v>
      </c>
      <c r="H75" s="1" t="s">
        <v>19</v>
      </c>
      <c r="I75" s="1">
        <v>10</v>
      </c>
      <c r="J75" s="3">
        <v>20600</v>
      </c>
      <c r="K75" s="3">
        <f>Tbl_Datos[[#This Row],[Unidades]]*Tbl_Datos[[#This Row],[Precio Unitario]]</f>
        <v>206000</v>
      </c>
      <c r="L75" s="3" cm="1">
        <f t="array" ref="L75">_xlfn.IFS(F75="Camas",J75*68%,F75="Comederos",J75*60%,F75="Higiene",J75*55%,F75="Juguetes",J75*62%,F75="Transporte",J75*72%)</f>
        <v>14008.000000000002</v>
      </c>
      <c r="M75" s="3">
        <f t="shared" si="3"/>
        <v>140080.00000000003</v>
      </c>
      <c r="N75" s="3">
        <f t="shared" si="4"/>
        <v>65919.999999999971</v>
      </c>
      <c r="O75" s="16">
        <f t="shared" si="5"/>
        <v>0.31999999999999984</v>
      </c>
    </row>
    <row r="76" spans="1:15" x14ac:dyDescent="0.25">
      <c r="A76" s="1" t="s">
        <v>118</v>
      </c>
      <c r="B76" s="5">
        <v>46209</v>
      </c>
      <c r="C76" s="1" t="s">
        <v>52</v>
      </c>
      <c r="D76" s="1" t="s">
        <v>33</v>
      </c>
      <c r="E76" s="1" t="s">
        <v>3</v>
      </c>
      <c r="F76" s="1" t="s">
        <v>4</v>
      </c>
      <c r="G76" s="1" t="s">
        <v>38</v>
      </c>
      <c r="H76" s="1" t="s">
        <v>6</v>
      </c>
      <c r="I76" s="1">
        <v>8</v>
      </c>
      <c r="J76" s="3">
        <v>7600</v>
      </c>
      <c r="K76" s="3">
        <f>Tbl_Datos[[#This Row],[Unidades]]*Tbl_Datos[[#This Row],[Precio Unitario]]</f>
        <v>60800</v>
      </c>
      <c r="L76" s="3" cm="1">
        <f t="array" ref="L76">_xlfn.IFS(F76="Camas",J76*68%,F76="Comederos",J76*60%,F76="Higiene",J76*55%,F76="Juguetes",J76*62%,F76="Transporte",J76*72%)</f>
        <v>4560</v>
      </c>
      <c r="M76" s="3">
        <f t="shared" si="3"/>
        <v>36480</v>
      </c>
      <c r="N76" s="3">
        <f t="shared" si="4"/>
        <v>24320</v>
      </c>
      <c r="O76" s="16">
        <f t="shared" si="5"/>
        <v>0.4</v>
      </c>
    </row>
    <row r="77" spans="1:15" x14ac:dyDescent="0.25">
      <c r="A77" s="1" t="s">
        <v>119</v>
      </c>
      <c r="B77" s="5">
        <v>46209</v>
      </c>
      <c r="C77" s="1" t="s">
        <v>52</v>
      </c>
      <c r="D77" s="1" t="s">
        <v>15</v>
      </c>
      <c r="E77" s="1" t="s">
        <v>53</v>
      </c>
      <c r="F77" s="1" t="s">
        <v>22</v>
      </c>
      <c r="G77" s="1" t="s">
        <v>55</v>
      </c>
      <c r="H77" s="1" t="s">
        <v>19</v>
      </c>
      <c r="I77" s="1">
        <v>19</v>
      </c>
      <c r="J77" s="3">
        <v>36400</v>
      </c>
      <c r="K77" s="3">
        <f>Tbl_Datos[[#This Row],[Unidades]]*Tbl_Datos[[#This Row],[Precio Unitario]]</f>
        <v>691600</v>
      </c>
      <c r="L77" s="3" cm="1">
        <f t="array" ref="L77">_xlfn.IFS(F77="Camas",J77*68%,F77="Comederos",J77*60%,F77="Higiene",J77*55%,F77="Juguetes",J77*62%,F77="Transporte",J77*72%)</f>
        <v>26208</v>
      </c>
      <c r="M77" s="3">
        <f t="shared" si="3"/>
        <v>497952</v>
      </c>
      <c r="N77" s="3">
        <f t="shared" si="4"/>
        <v>193648</v>
      </c>
      <c r="O77" s="16">
        <f t="shared" si="5"/>
        <v>0.28000000000000003</v>
      </c>
    </row>
    <row r="78" spans="1:15" x14ac:dyDescent="0.25">
      <c r="A78" s="1" t="s">
        <v>120</v>
      </c>
      <c r="B78" s="5">
        <v>46189</v>
      </c>
      <c r="C78" s="1" t="s">
        <v>45</v>
      </c>
      <c r="D78" s="1" t="s">
        <v>27</v>
      </c>
      <c r="E78" s="1" t="s">
        <v>10</v>
      </c>
      <c r="F78" s="1" t="s">
        <v>4</v>
      </c>
      <c r="G78" s="1" t="s">
        <v>71</v>
      </c>
      <c r="H78" s="1" t="s">
        <v>24</v>
      </c>
      <c r="I78" s="1">
        <v>31</v>
      </c>
      <c r="J78" s="3">
        <v>15600</v>
      </c>
      <c r="K78" s="3">
        <f>Tbl_Datos[[#This Row],[Unidades]]*Tbl_Datos[[#This Row],[Precio Unitario]]</f>
        <v>483600</v>
      </c>
      <c r="L78" s="3" cm="1">
        <f t="array" ref="L78">_xlfn.IFS(F78="Camas",J78*68%,F78="Comederos",J78*60%,F78="Higiene",J78*55%,F78="Juguetes",J78*62%,F78="Transporte",J78*72%)</f>
        <v>9360</v>
      </c>
      <c r="M78" s="3">
        <f t="shared" si="3"/>
        <v>290160</v>
      </c>
      <c r="N78" s="3">
        <f t="shared" si="4"/>
        <v>193440</v>
      </c>
      <c r="O78" s="16">
        <f t="shared" si="5"/>
        <v>0.4</v>
      </c>
    </row>
    <row r="79" spans="1:15" x14ac:dyDescent="0.25">
      <c r="A79" s="1" t="s">
        <v>121</v>
      </c>
      <c r="B79" s="5">
        <v>46097</v>
      </c>
      <c r="C79" s="1" t="s">
        <v>26</v>
      </c>
      <c r="D79" s="1" t="s">
        <v>15</v>
      </c>
      <c r="E79" s="1" t="s">
        <v>3</v>
      </c>
      <c r="F79" s="1" t="s">
        <v>17</v>
      </c>
      <c r="G79" s="1" t="s">
        <v>74</v>
      </c>
      <c r="H79" s="1" t="s">
        <v>24</v>
      </c>
      <c r="I79" s="1">
        <v>62</v>
      </c>
      <c r="J79" s="3">
        <v>10200</v>
      </c>
      <c r="K79" s="3">
        <f>Tbl_Datos[[#This Row],[Unidades]]*Tbl_Datos[[#This Row],[Precio Unitario]]</f>
        <v>632400</v>
      </c>
      <c r="L79" s="3" cm="1">
        <f t="array" ref="L79">_xlfn.IFS(F79="Camas",J79*68%,F79="Comederos",J79*60%,F79="Higiene",J79*55%,F79="Juguetes",J79*62%,F79="Transporte",J79*72%)</f>
        <v>6324</v>
      </c>
      <c r="M79" s="3">
        <f t="shared" si="3"/>
        <v>392088</v>
      </c>
      <c r="N79" s="3">
        <f t="shared" si="4"/>
        <v>240312</v>
      </c>
      <c r="O79" s="16">
        <f t="shared" si="5"/>
        <v>0.38</v>
      </c>
    </row>
    <row r="80" spans="1:15" x14ac:dyDescent="0.25">
      <c r="A80" s="1" t="s">
        <v>122</v>
      </c>
      <c r="B80" s="5">
        <v>46126</v>
      </c>
      <c r="C80" s="1" t="s">
        <v>47</v>
      </c>
      <c r="D80" s="1" t="s">
        <v>2</v>
      </c>
      <c r="E80" s="1" t="s">
        <v>10</v>
      </c>
      <c r="F80" s="1" t="s">
        <v>17</v>
      </c>
      <c r="G80" s="1" t="s">
        <v>58</v>
      </c>
      <c r="H80" s="1" t="s">
        <v>19</v>
      </c>
      <c r="I80" s="1">
        <v>39</v>
      </c>
      <c r="J80" s="3">
        <v>4300</v>
      </c>
      <c r="K80" s="3">
        <f>Tbl_Datos[[#This Row],[Unidades]]*Tbl_Datos[[#This Row],[Precio Unitario]]</f>
        <v>167700</v>
      </c>
      <c r="L80" s="3" cm="1">
        <f t="array" ref="L80">_xlfn.IFS(F80="Camas",J80*68%,F80="Comederos",J80*60%,F80="Higiene",J80*55%,F80="Juguetes",J80*62%,F80="Transporte",J80*72%)</f>
        <v>2666</v>
      </c>
      <c r="M80" s="3">
        <f t="shared" si="3"/>
        <v>103974</v>
      </c>
      <c r="N80" s="3">
        <f t="shared" si="4"/>
        <v>63726</v>
      </c>
      <c r="O80" s="16">
        <f t="shared" si="5"/>
        <v>0.38</v>
      </c>
    </row>
    <row r="81" spans="1:15" x14ac:dyDescent="0.25">
      <c r="A81" s="1" t="s">
        <v>123</v>
      </c>
      <c r="B81" s="5">
        <v>46084</v>
      </c>
      <c r="C81" s="1" t="s">
        <v>26</v>
      </c>
      <c r="D81" s="1" t="s">
        <v>2</v>
      </c>
      <c r="E81" s="1" t="s">
        <v>16</v>
      </c>
      <c r="F81" s="1" t="s">
        <v>4</v>
      </c>
      <c r="G81" s="1" t="s">
        <v>5</v>
      </c>
      <c r="H81" s="1" t="s">
        <v>6</v>
      </c>
      <c r="I81" s="1">
        <v>38</v>
      </c>
      <c r="J81" s="3">
        <v>6100</v>
      </c>
      <c r="K81" s="3">
        <f>Tbl_Datos[[#This Row],[Unidades]]*Tbl_Datos[[#This Row],[Precio Unitario]]</f>
        <v>231800</v>
      </c>
      <c r="L81" s="3" cm="1">
        <f t="array" ref="L81">_xlfn.IFS(F81="Camas",J81*68%,F81="Comederos",J81*60%,F81="Higiene",J81*55%,F81="Juguetes",J81*62%,F81="Transporte",J81*72%)</f>
        <v>3660</v>
      </c>
      <c r="M81" s="3">
        <f t="shared" si="3"/>
        <v>139080</v>
      </c>
      <c r="N81" s="3">
        <f t="shared" si="4"/>
        <v>92720</v>
      </c>
      <c r="O81" s="16">
        <f t="shared" si="5"/>
        <v>0.4</v>
      </c>
    </row>
    <row r="82" spans="1:15" x14ac:dyDescent="0.25">
      <c r="A82" s="1" t="s">
        <v>124</v>
      </c>
      <c r="B82" s="5">
        <v>46255</v>
      </c>
      <c r="C82" s="1" t="s">
        <v>8</v>
      </c>
      <c r="D82" s="1" t="s">
        <v>33</v>
      </c>
      <c r="E82" s="1" t="s">
        <v>10</v>
      </c>
      <c r="F82" s="1" t="s">
        <v>42</v>
      </c>
      <c r="G82" s="1" t="s">
        <v>125</v>
      </c>
      <c r="H82" s="1" t="s">
        <v>24</v>
      </c>
      <c r="I82" s="1">
        <v>65</v>
      </c>
      <c r="J82" s="3">
        <v>7500</v>
      </c>
      <c r="K82" s="3">
        <f>Tbl_Datos[[#This Row],[Unidades]]*Tbl_Datos[[#This Row],[Precio Unitario]]</f>
        <v>487500</v>
      </c>
      <c r="L82" s="3" cm="1">
        <f t="array" ref="L82">_xlfn.IFS(F82="Camas",J82*68%,F82="Comederos",J82*60%,F82="Higiene",J82*55%,F82="Juguetes",J82*62%,F82="Transporte",J82*72%)</f>
        <v>4125</v>
      </c>
      <c r="M82" s="3">
        <f t="shared" si="3"/>
        <v>268125</v>
      </c>
      <c r="N82" s="3">
        <f t="shared" si="4"/>
        <v>219375</v>
      </c>
      <c r="O82" s="16">
        <f t="shared" si="5"/>
        <v>0.45</v>
      </c>
    </row>
    <row r="83" spans="1:15" x14ac:dyDescent="0.25">
      <c r="A83" s="1" t="s">
        <v>126</v>
      </c>
      <c r="B83" s="5">
        <v>46261</v>
      </c>
      <c r="C83" s="1" t="s">
        <v>8</v>
      </c>
      <c r="D83" s="1" t="s">
        <v>21</v>
      </c>
      <c r="E83" s="1" t="s">
        <v>10</v>
      </c>
      <c r="F83" s="1" t="s">
        <v>17</v>
      </c>
      <c r="G83" s="1" t="s">
        <v>74</v>
      </c>
      <c r="H83" s="1" t="s">
        <v>6</v>
      </c>
      <c r="I83" s="1">
        <v>51</v>
      </c>
      <c r="J83" s="3">
        <v>10000</v>
      </c>
      <c r="K83" s="3">
        <f>Tbl_Datos[[#This Row],[Unidades]]*Tbl_Datos[[#This Row],[Precio Unitario]]</f>
        <v>510000</v>
      </c>
      <c r="L83" s="3" cm="1">
        <f t="array" ref="L83">_xlfn.IFS(F83="Camas",J83*68%,F83="Comederos",J83*60%,F83="Higiene",J83*55%,F83="Juguetes",J83*62%,F83="Transporte",J83*72%)</f>
        <v>6200</v>
      </c>
      <c r="M83" s="3">
        <f t="shared" si="3"/>
        <v>316200</v>
      </c>
      <c r="N83" s="3">
        <f t="shared" si="4"/>
        <v>193800</v>
      </c>
      <c r="O83" s="16">
        <f t="shared" si="5"/>
        <v>0.38</v>
      </c>
    </row>
    <row r="84" spans="1:15" x14ac:dyDescent="0.25">
      <c r="A84" s="1" t="s">
        <v>127</v>
      </c>
      <c r="B84" s="5">
        <v>46222</v>
      </c>
      <c r="C84" s="1" t="s">
        <v>52</v>
      </c>
      <c r="D84" s="1" t="s">
        <v>9</v>
      </c>
      <c r="E84" s="1" t="s">
        <v>3</v>
      </c>
      <c r="F84" s="1" t="s">
        <v>11</v>
      </c>
      <c r="G84" s="1" t="s">
        <v>28</v>
      </c>
      <c r="H84" s="1" t="s">
        <v>6</v>
      </c>
      <c r="I84" s="1">
        <v>41</v>
      </c>
      <c r="J84" s="3">
        <v>14100</v>
      </c>
      <c r="K84" s="3">
        <f>Tbl_Datos[[#This Row],[Unidades]]*Tbl_Datos[[#This Row],[Precio Unitario]]</f>
        <v>578100</v>
      </c>
      <c r="L84" s="3" cm="1">
        <f t="array" ref="L84">_xlfn.IFS(F84="Camas",J84*68%,F84="Comederos",J84*60%,F84="Higiene",J84*55%,F84="Juguetes",J84*62%,F84="Transporte",J84*72%)</f>
        <v>9588</v>
      </c>
      <c r="M84" s="3">
        <f t="shared" si="3"/>
        <v>393108</v>
      </c>
      <c r="N84" s="3">
        <f t="shared" si="4"/>
        <v>184992</v>
      </c>
      <c r="O84" s="16">
        <f t="shared" si="5"/>
        <v>0.32</v>
      </c>
    </row>
    <row r="85" spans="1:15" x14ac:dyDescent="0.25">
      <c r="A85" s="1" t="s">
        <v>128</v>
      </c>
      <c r="B85" s="5">
        <v>46251</v>
      </c>
      <c r="C85" s="1" t="s">
        <v>8</v>
      </c>
      <c r="D85" s="1" t="s">
        <v>33</v>
      </c>
      <c r="E85" s="1" t="s">
        <v>16</v>
      </c>
      <c r="F85" s="1" t="s">
        <v>22</v>
      </c>
      <c r="G85" s="1" t="s">
        <v>40</v>
      </c>
      <c r="H85" s="1" t="s">
        <v>6</v>
      </c>
      <c r="I85" s="1">
        <v>44</v>
      </c>
      <c r="J85" s="3">
        <v>30500</v>
      </c>
      <c r="K85" s="3">
        <f>Tbl_Datos[[#This Row],[Unidades]]*Tbl_Datos[[#This Row],[Precio Unitario]]</f>
        <v>1342000</v>
      </c>
      <c r="L85" s="3" cm="1">
        <f t="array" ref="L85">_xlfn.IFS(F85="Camas",J85*68%,F85="Comederos",J85*60%,F85="Higiene",J85*55%,F85="Juguetes",J85*62%,F85="Transporte",J85*72%)</f>
        <v>21960</v>
      </c>
      <c r="M85" s="3">
        <f t="shared" si="3"/>
        <v>966240</v>
      </c>
      <c r="N85" s="3">
        <f t="shared" si="4"/>
        <v>375760</v>
      </c>
      <c r="O85" s="16">
        <f t="shared" si="5"/>
        <v>0.28000000000000003</v>
      </c>
    </row>
    <row r="86" spans="1:15" x14ac:dyDescent="0.25">
      <c r="A86" s="1" t="s">
        <v>129</v>
      </c>
      <c r="B86" s="5">
        <v>46160</v>
      </c>
      <c r="C86" s="1" t="s">
        <v>14</v>
      </c>
      <c r="D86" s="1" t="s">
        <v>21</v>
      </c>
      <c r="E86" s="1" t="s">
        <v>10</v>
      </c>
      <c r="F86" s="1" t="s">
        <v>17</v>
      </c>
      <c r="G86" s="1" t="s">
        <v>68</v>
      </c>
      <c r="H86" s="1" t="s">
        <v>24</v>
      </c>
      <c r="I86" s="1">
        <v>44</v>
      </c>
      <c r="J86" s="3">
        <v>5200</v>
      </c>
      <c r="K86" s="3">
        <f>Tbl_Datos[[#This Row],[Unidades]]*Tbl_Datos[[#This Row],[Precio Unitario]]</f>
        <v>228800</v>
      </c>
      <c r="L86" s="3" cm="1">
        <f t="array" ref="L86">_xlfn.IFS(F86="Camas",J86*68%,F86="Comederos",J86*60%,F86="Higiene",J86*55%,F86="Juguetes",J86*62%,F86="Transporte",J86*72%)</f>
        <v>3224</v>
      </c>
      <c r="M86" s="3">
        <f t="shared" si="3"/>
        <v>141856</v>
      </c>
      <c r="N86" s="3">
        <f t="shared" si="4"/>
        <v>86944</v>
      </c>
      <c r="O86" s="16">
        <f t="shared" si="5"/>
        <v>0.38</v>
      </c>
    </row>
    <row r="87" spans="1:15" x14ac:dyDescent="0.25">
      <c r="A87" s="1" t="s">
        <v>130</v>
      </c>
      <c r="B87" s="5">
        <v>46245</v>
      </c>
      <c r="C87" s="1" t="s">
        <v>8</v>
      </c>
      <c r="D87" s="1" t="s">
        <v>9</v>
      </c>
      <c r="E87" s="1" t="s">
        <v>3</v>
      </c>
      <c r="F87" s="1" t="s">
        <v>22</v>
      </c>
      <c r="G87" s="1" t="s">
        <v>23</v>
      </c>
      <c r="H87" s="1" t="s">
        <v>19</v>
      </c>
      <c r="I87" s="1">
        <v>26</v>
      </c>
      <c r="J87" s="3">
        <v>50800</v>
      </c>
      <c r="K87" s="3">
        <f>Tbl_Datos[[#This Row],[Unidades]]*Tbl_Datos[[#This Row],[Precio Unitario]]</f>
        <v>1320800</v>
      </c>
      <c r="L87" s="3" cm="1">
        <f t="array" ref="L87">_xlfn.IFS(F87="Camas",J87*68%,F87="Comederos",J87*60%,F87="Higiene",J87*55%,F87="Juguetes",J87*62%,F87="Transporte",J87*72%)</f>
        <v>36576</v>
      </c>
      <c r="M87" s="3">
        <f t="shared" si="3"/>
        <v>950976</v>
      </c>
      <c r="N87" s="3">
        <f t="shared" si="4"/>
        <v>369824</v>
      </c>
      <c r="O87" s="16">
        <f t="shared" si="5"/>
        <v>0.28000000000000003</v>
      </c>
    </row>
    <row r="88" spans="1:15" x14ac:dyDescent="0.25">
      <c r="A88" s="1" t="s">
        <v>131</v>
      </c>
      <c r="B88" s="5">
        <v>46104</v>
      </c>
      <c r="C88" s="1" t="s">
        <v>26</v>
      </c>
      <c r="D88" s="1" t="s">
        <v>9</v>
      </c>
      <c r="E88" s="1" t="s">
        <v>53</v>
      </c>
      <c r="F88" s="1" t="s">
        <v>11</v>
      </c>
      <c r="G88" s="1" t="s">
        <v>28</v>
      </c>
      <c r="H88" s="1" t="s">
        <v>24</v>
      </c>
      <c r="I88" s="1">
        <v>37</v>
      </c>
      <c r="J88" s="3">
        <v>14600</v>
      </c>
      <c r="K88" s="3">
        <f>Tbl_Datos[[#This Row],[Unidades]]*Tbl_Datos[[#This Row],[Precio Unitario]]</f>
        <v>540200</v>
      </c>
      <c r="L88" s="3" cm="1">
        <f t="array" ref="L88">_xlfn.IFS(F88="Camas",J88*68%,F88="Comederos",J88*60%,F88="Higiene",J88*55%,F88="Juguetes",J88*62%,F88="Transporte",J88*72%)</f>
        <v>9928</v>
      </c>
      <c r="M88" s="3">
        <f t="shared" si="3"/>
        <v>367336</v>
      </c>
      <c r="N88" s="3">
        <f t="shared" si="4"/>
        <v>172864</v>
      </c>
      <c r="O88" s="16">
        <f t="shared" si="5"/>
        <v>0.32</v>
      </c>
    </row>
    <row r="89" spans="1:15" x14ac:dyDescent="0.25">
      <c r="A89" s="1" t="s">
        <v>132</v>
      </c>
      <c r="B89" s="5">
        <v>46252</v>
      </c>
      <c r="C89" s="1" t="s">
        <v>8</v>
      </c>
      <c r="D89" s="1" t="s">
        <v>9</v>
      </c>
      <c r="E89" s="1" t="s">
        <v>10</v>
      </c>
      <c r="F89" s="1" t="s">
        <v>4</v>
      </c>
      <c r="G89" s="1" t="s">
        <v>5</v>
      </c>
      <c r="H89" s="1" t="s">
        <v>6</v>
      </c>
      <c r="I89" s="1">
        <v>10</v>
      </c>
      <c r="J89" s="3">
        <v>6300</v>
      </c>
      <c r="K89" s="3">
        <f>Tbl_Datos[[#This Row],[Unidades]]*Tbl_Datos[[#This Row],[Precio Unitario]]</f>
        <v>63000</v>
      </c>
      <c r="L89" s="3" cm="1">
        <f t="array" ref="L89">_xlfn.IFS(F89="Camas",J89*68%,F89="Comederos",J89*60%,F89="Higiene",J89*55%,F89="Juguetes",J89*62%,F89="Transporte",J89*72%)</f>
        <v>3780</v>
      </c>
      <c r="M89" s="3">
        <f t="shared" si="3"/>
        <v>37800</v>
      </c>
      <c r="N89" s="3">
        <f t="shared" si="4"/>
        <v>25200</v>
      </c>
      <c r="O89" s="16">
        <f t="shared" si="5"/>
        <v>0.4</v>
      </c>
    </row>
    <row r="90" spans="1:15" x14ac:dyDescent="0.25">
      <c r="A90" s="1" t="s">
        <v>133</v>
      </c>
      <c r="B90" s="5">
        <v>46204</v>
      </c>
      <c r="C90" s="1" t="s">
        <v>52</v>
      </c>
      <c r="D90" s="1" t="s">
        <v>9</v>
      </c>
      <c r="E90" s="1" t="s">
        <v>10</v>
      </c>
      <c r="F90" s="1" t="s">
        <v>17</v>
      </c>
      <c r="G90" s="1" t="s">
        <v>68</v>
      </c>
      <c r="H90" s="1" t="s">
        <v>19</v>
      </c>
      <c r="I90" s="1">
        <v>21</v>
      </c>
      <c r="J90" s="3">
        <v>5400</v>
      </c>
      <c r="K90" s="3">
        <f>Tbl_Datos[[#This Row],[Unidades]]*Tbl_Datos[[#This Row],[Precio Unitario]]</f>
        <v>113400</v>
      </c>
      <c r="L90" s="3" cm="1">
        <f t="array" ref="L90">_xlfn.IFS(F90="Camas",J90*68%,F90="Comederos",J90*60%,F90="Higiene",J90*55%,F90="Juguetes",J90*62%,F90="Transporte",J90*72%)</f>
        <v>3348</v>
      </c>
      <c r="M90" s="3">
        <f t="shared" si="3"/>
        <v>70308</v>
      </c>
      <c r="N90" s="3">
        <f t="shared" si="4"/>
        <v>43092</v>
      </c>
      <c r="O90" s="16">
        <f t="shared" si="5"/>
        <v>0.38</v>
      </c>
    </row>
    <row r="91" spans="1:15" x14ac:dyDescent="0.25">
      <c r="A91" s="1" t="s">
        <v>134</v>
      </c>
      <c r="B91" s="5">
        <v>46128</v>
      </c>
      <c r="C91" s="1" t="s">
        <v>47</v>
      </c>
      <c r="D91" s="1" t="s">
        <v>15</v>
      </c>
      <c r="E91" s="1" t="s">
        <v>10</v>
      </c>
      <c r="F91" s="1" t="s">
        <v>42</v>
      </c>
      <c r="G91" s="1" t="s">
        <v>49</v>
      </c>
      <c r="H91" s="1" t="s">
        <v>19</v>
      </c>
      <c r="I91" s="1">
        <v>49</v>
      </c>
      <c r="J91" s="3">
        <v>3400</v>
      </c>
      <c r="K91" s="3">
        <f>Tbl_Datos[[#This Row],[Unidades]]*Tbl_Datos[[#This Row],[Precio Unitario]]</f>
        <v>166600</v>
      </c>
      <c r="L91" s="3" cm="1">
        <f t="array" ref="L91">_xlfn.IFS(F91="Camas",J91*68%,F91="Comederos",J91*60%,F91="Higiene",J91*55%,F91="Juguetes",J91*62%,F91="Transporte",J91*72%)</f>
        <v>1870.0000000000002</v>
      </c>
      <c r="M91" s="3">
        <f t="shared" si="3"/>
        <v>91630.000000000015</v>
      </c>
      <c r="N91" s="3">
        <f t="shared" si="4"/>
        <v>74969.999999999985</v>
      </c>
      <c r="O91" s="16">
        <f t="shared" si="5"/>
        <v>0.4499999999999999</v>
      </c>
    </row>
    <row r="92" spans="1:15" x14ac:dyDescent="0.25">
      <c r="A92" s="1" t="s">
        <v>135</v>
      </c>
      <c r="B92" s="5">
        <v>46093</v>
      </c>
      <c r="C92" s="1" t="s">
        <v>26</v>
      </c>
      <c r="D92" s="1" t="s">
        <v>2</v>
      </c>
      <c r="E92" s="1" t="s">
        <v>53</v>
      </c>
      <c r="F92" s="1" t="s">
        <v>4</v>
      </c>
      <c r="G92" s="1" t="s">
        <v>5</v>
      </c>
      <c r="H92" s="1" t="s">
        <v>24</v>
      </c>
      <c r="I92" s="1">
        <v>55</v>
      </c>
      <c r="J92" s="3">
        <v>6700</v>
      </c>
      <c r="K92" s="3">
        <f>Tbl_Datos[[#This Row],[Unidades]]*Tbl_Datos[[#This Row],[Precio Unitario]]</f>
        <v>368500</v>
      </c>
      <c r="L92" s="3" cm="1">
        <f t="array" ref="L92">_xlfn.IFS(F92="Camas",J92*68%,F92="Comederos",J92*60%,F92="Higiene",J92*55%,F92="Juguetes",J92*62%,F92="Transporte",J92*72%)</f>
        <v>4020</v>
      </c>
      <c r="M92" s="3">
        <f t="shared" si="3"/>
        <v>221100</v>
      </c>
      <c r="N92" s="3">
        <f t="shared" si="4"/>
        <v>147400</v>
      </c>
      <c r="O92" s="16">
        <f t="shared" si="5"/>
        <v>0.4</v>
      </c>
    </row>
    <row r="93" spans="1:15" x14ac:dyDescent="0.25">
      <c r="A93" s="1" t="s">
        <v>136</v>
      </c>
      <c r="B93" s="5">
        <v>46119</v>
      </c>
      <c r="C93" s="1" t="s">
        <v>47</v>
      </c>
      <c r="D93" s="1" t="s">
        <v>15</v>
      </c>
      <c r="E93" s="1" t="s">
        <v>53</v>
      </c>
      <c r="F93" s="1" t="s">
        <v>42</v>
      </c>
      <c r="G93" s="1" t="s">
        <v>125</v>
      </c>
      <c r="H93" s="1" t="s">
        <v>24</v>
      </c>
      <c r="I93" s="1">
        <v>45</v>
      </c>
      <c r="J93" s="3">
        <v>7700</v>
      </c>
      <c r="K93" s="3">
        <f>Tbl_Datos[[#This Row],[Unidades]]*Tbl_Datos[[#This Row],[Precio Unitario]]</f>
        <v>346500</v>
      </c>
      <c r="L93" s="3" cm="1">
        <f t="array" ref="L93">_xlfn.IFS(F93="Camas",J93*68%,F93="Comederos",J93*60%,F93="Higiene",J93*55%,F93="Juguetes",J93*62%,F93="Transporte",J93*72%)</f>
        <v>4235</v>
      </c>
      <c r="M93" s="3">
        <f t="shared" si="3"/>
        <v>190575</v>
      </c>
      <c r="N93" s="3">
        <f t="shared" si="4"/>
        <v>155925</v>
      </c>
      <c r="O93" s="16">
        <f t="shared" si="5"/>
        <v>0.45</v>
      </c>
    </row>
    <row r="94" spans="1:15" x14ac:dyDescent="0.25">
      <c r="A94" s="1" t="s">
        <v>137</v>
      </c>
      <c r="B94" s="5">
        <v>46248</v>
      </c>
      <c r="C94" s="1" t="s">
        <v>8</v>
      </c>
      <c r="D94" s="1" t="s">
        <v>27</v>
      </c>
      <c r="E94" s="1" t="s">
        <v>16</v>
      </c>
      <c r="F94" s="1" t="s">
        <v>4</v>
      </c>
      <c r="G94" s="1" t="s">
        <v>71</v>
      </c>
      <c r="H94" s="1" t="s">
        <v>19</v>
      </c>
      <c r="I94" s="1">
        <v>28</v>
      </c>
      <c r="J94" s="3">
        <v>16300</v>
      </c>
      <c r="K94" s="3">
        <f>Tbl_Datos[[#This Row],[Unidades]]*Tbl_Datos[[#This Row],[Precio Unitario]]</f>
        <v>456400</v>
      </c>
      <c r="L94" s="3" cm="1">
        <f t="array" ref="L94">_xlfn.IFS(F94="Camas",J94*68%,F94="Comederos",J94*60%,F94="Higiene",J94*55%,F94="Juguetes",J94*62%,F94="Transporte",J94*72%)</f>
        <v>9780</v>
      </c>
      <c r="M94" s="3">
        <f t="shared" si="3"/>
        <v>273840</v>
      </c>
      <c r="N94" s="3">
        <f t="shared" si="4"/>
        <v>182560</v>
      </c>
      <c r="O94" s="16">
        <f t="shared" si="5"/>
        <v>0.4</v>
      </c>
    </row>
    <row r="95" spans="1:15" x14ac:dyDescent="0.25">
      <c r="A95" s="1" t="s">
        <v>138</v>
      </c>
      <c r="B95" s="5">
        <v>46227</v>
      </c>
      <c r="C95" s="1" t="s">
        <v>52</v>
      </c>
      <c r="D95" s="1" t="s">
        <v>21</v>
      </c>
      <c r="E95" s="1" t="s">
        <v>10</v>
      </c>
      <c r="F95" s="1" t="s">
        <v>17</v>
      </c>
      <c r="G95" s="1" t="s">
        <v>18</v>
      </c>
      <c r="H95" s="1" t="s">
        <v>24</v>
      </c>
      <c r="I95" s="1">
        <v>32</v>
      </c>
      <c r="J95" s="3">
        <v>3100</v>
      </c>
      <c r="K95" s="3">
        <f>Tbl_Datos[[#This Row],[Unidades]]*Tbl_Datos[[#This Row],[Precio Unitario]]</f>
        <v>99200</v>
      </c>
      <c r="L95" s="3" cm="1">
        <f t="array" ref="L95">_xlfn.IFS(F95="Camas",J95*68%,F95="Comederos",J95*60%,F95="Higiene",J95*55%,F95="Juguetes",J95*62%,F95="Transporte",J95*72%)</f>
        <v>1922</v>
      </c>
      <c r="M95" s="3">
        <f t="shared" si="3"/>
        <v>61504</v>
      </c>
      <c r="N95" s="3">
        <f t="shared" si="4"/>
        <v>37696</v>
      </c>
      <c r="O95" s="16">
        <f t="shared" si="5"/>
        <v>0.38</v>
      </c>
    </row>
    <row r="96" spans="1:15" x14ac:dyDescent="0.25">
      <c r="A96" s="1" t="s">
        <v>139</v>
      </c>
      <c r="B96" s="5">
        <v>46154</v>
      </c>
      <c r="C96" s="1" t="s">
        <v>14</v>
      </c>
      <c r="D96" s="1" t="s">
        <v>15</v>
      </c>
      <c r="E96" s="1" t="s">
        <v>16</v>
      </c>
      <c r="F96" s="1" t="s">
        <v>17</v>
      </c>
      <c r="G96" s="1" t="s">
        <v>18</v>
      </c>
      <c r="H96" s="1" t="s">
        <v>19</v>
      </c>
      <c r="I96" s="1">
        <v>29</v>
      </c>
      <c r="J96" s="3">
        <v>3000</v>
      </c>
      <c r="K96" s="3">
        <f>Tbl_Datos[[#This Row],[Unidades]]*Tbl_Datos[[#This Row],[Precio Unitario]]</f>
        <v>87000</v>
      </c>
      <c r="L96" s="3" cm="1">
        <f t="array" ref="L96">_xlfn.IFS(F96="Camas",J96*68%,F96="Comederos",J96*60%,F96="Higiene",J96*55%,F96="Juguetes",J96*62%,F96="Transporte",J96*72%)</f>
        <v>1860</v>
      </c>
      <c r="M96" s="3">
        <f t="shared" si="3"/>
        <v>53940</v>
      </c>
      <c r="N96" s="3">
        <f t="shared" si="4"/>
        <v>33060</v>
      </c>
      <c r="O96" s="16">
        <f t="shared" si="5"/>
        <v>0.38</v>
      </c>
    </row>
    <row r="97" spans="1:15" x14ac:dyDescent="0.25">
      <c r="A97" s="1" t="s">
        <v>140</v>
      </c>
      <c r="B97" s="5">
        <v>46212</v>
      </c>
      <c r="C97" s="1" t="s">
        <v>52</v>
      </c>
      <c r="D97" s="1" t="s">
        <v>33</v>
      </c>
      <c r="E97" s="1" t="s">
        <v>10</v>
      </c>
      <c r="F97" s="1" t="s">
        <v>42</v>
      </c>
      <c r="G97" s="1" t="s">
        <v>125</v>
      </c>
      <c r="H97" s="1" t="s">
        <v>19</v>
      </c>
      <c r="I97" s="1">
        <v>19</v>
      </c>
      <c r="J97" s="3">
        <v>7400</v>
      </c>
      <c r="K97" s="3">
        <f>Tbl_Datos[[#This Row],[Unidades]]*Tbl_Datos[[#This Row],[Precio Unitario]]</f>
        <v>140600</v>
      </c>
      <c r="L97" s="3" cm="1">
        <f t="array" ref="L97">_xlfn.IFS(F97="Camas",J97*68%,F97="Comederos",J97*60%,F97="Higiene",J97*55%,F97="Juguetes",J97*62%,F97="Transporte",J97*72%)</f>
        <v>4070.0000000000005</v>
      </c>
      <c r="M97" s="3">
        <f t="shared" si="3"/>
        <v>77330.000000000015</v>
      </c>
      <c r="N97" s="3">
        <f t="shared" si="4"/>
        <v>63269.999999999985</v>
      </c>
      <c r="O97" s="16">
        <f t="shared" si="5"/>
        <v>0.4499999999999999</v>
      </c>
    </row>
    <row r="98" spans="1:15" x14ac:dyDescent="0.25">
      <c r="A98" s="1" t="s">
        <v>141</v>
      </c>
      <c r="B98" s="5">
        <v>46024</v>
      </c>
      <c r="C98" s="1" t="s">
        <v>32</v>
      </c>
      <c r="D98" s="1" t="s">
        <v>9</v>
      </c>
      <c r="E98" s="1" t="s">
        <v>16</v>
      </c>
      <c r="F98" s="1" t="s">
        <v>11</v>
      </c>
      <c r="G98" s="1" t="s">
        <v>30</v>
      </c>
      <c r="H98" s="1" t="s">
        <v>6</v>
      </c>
      <c r="I98" s="1">
        <v>39</v>
      </c>
      <c r="J98" s="3">
        <v>26500</v>
      </c>
      <c r="K98" s="3">
        <f>Tbl_Datos[[#This Row],[Unidades]]*Tbl_Datos[[#This Row],[Precio Unitario]]</f>
        <v>1033500</v>
      </c>
      <c r="L98" s="3" cm="1">
        <f t="array" ref="L98">_xlfn.IFS(F98="Camas",J98*68%,F98="Comederos",J98*60%,F98="Higiene",J98*55%,F98="Juguetes",J98*62%,F98="Transporte",J98*72%)</f>
        <v>18020</v>
      </c>
      <c r="M98" s="3">
        <f t="shared" si="3"/>
        <v>702780</v>
      </c>
      <c r="N98" s="3">
        <f t="shared" si="4"/>
        <v>330720</v>
      </c>
      <c r="O98" s="16">
        <f t="shared" si="5"/>
        <v>0.32</v>
      </c>
    </row>
    <row r="99" spans="1:15" x14ac:dyDescent="0.25">
      <c r="A99" s="1" t="s">
        <v>142</v>
      </c>
      <c r="B99" s="5">
        <v>46192</v>
      </c>
      <c r="C99" s="1" t="s">
        <v>45</v>
      </c>
      <c r="D99" s="1" t="s">
        <v>9</v>
      </c>
      <c r="E99" s="1" t="s">
        <v>10</v>
      </c>
      <c r="F99" s="1" t="s">
        <v>22</v>
      </c>
      <c r="G99" s="1" t="s">
        <v>23</v>
      </c>
      <c r="H99" s="1" t="s">
        <v>24</v>
      </c>
      <c r="I99" s="1">
        <v>63</v>
      </c>
      <c r="J99" s="3">
        <v>48800</v>
      </c>
      <c r="K99" s="3">
        <f>Tbl_Datos[[#This Row],[Unidades]]*Tbl_Datos[[#This Row],[Precio Unitario]]</f>
        <v>3074400</v>
      </c>
      <c r="L99" s="3" cm="1">
        <f t="array" ref="L99">_xlfn.IFS(F99="Camas",J99*68%,F99="Comederos",J99*60%,F99="Higiene",J99*55%,F99="Juguetes",J99*62%,F99="Transporte",J99*72%)</f>
        <v>35136</v>
      </c>
      <c r="M99" s="3">
        <f t="shared" si="3"/>
        <v>2213568</v>
      </c>
      <c r="N99" s="3">
        <f t="shared" si="4"/>
        <v>860832</v>
      </c>
      <c r="O99" s="16">
        <f t="shared" si="5"/>
        <v>0.28000000000000003</v>
      </c>
    </row>
    <row r="100" spans="1:15" x14ac:dyDescent="0.25">
      <c r="A100" s="1" t="s">
        <v>143</v>
      </c>
      <c r="B100" s="5">
        <v>46038</v>
      </c>
      <c r="C100" s="1" t="s">
        <v>32</v>
      </c>
      <c r="D100" s="1" t="s">
        <v>21</v>
      </c>
      <c r="E100" s="1" t="s">
        <v>53</v>
      </c>
      <c r="F100" s="1" t="s">
        <v>11</v>
      </c>
      <c r="G100" s="1" t="s">
        <v>144</v>
      </c>
      <c r="H100" s="1" t="s">
        <v>19</v>
      </c>
      <c r="I100" s="1">
        <v>11</v>
      </c>
      <c r="J100" s="3">
        <v>23400</v>
      </c>
      <c r="K100" s="3">
        <f>Tbl_Datos[[#This Row],[Unidades]]*Tbl_Datos[[#This Row],[Precio Unitario]]</f>
        <v>257400</v>
      </c>
      <c r="L100" s="3" cm="1">
        <f t="array" ref="L100">_xlfn.IFS(F100="Camas",J100*68%,F100="Comederos",J100*60%,F100="Higiene",J100*55%,F100="Juguetes",J100*62%,F100="Transporte",J100*72%)</f>
        <v>15912.000000000002</v>
      </c>
      <c r="M100" s="3">
        <f t="shared" si="3"/>
        <v>175032.00000000003</v>
      </c>
      <c r="N100" s="3">
        <f t="shared" si="4"/>
        <v>82367.999999999971</v>
      </c>
      <c r="O100" s="16">
        <f t="shared" si="5"/>
        <v>0.3199999999999999</v>
      </c>
    </row>
    <row r="101" spans="1:15" x14ac:dyDescent="0.25">
      <c r="A101" s="1" t="s">
        <v>145</v>
      </c>
      <c r="B101" s="5">
        <v>46048</v>
      </c>
      <c r="C101" s="1" t="s">
        <v>32</v>
      </c>
      <c r="D101" s="1" t="s">
        <v>2</v>
      </c>
      <c r="E101" s="1" t="s">
        <v>3</v>
      </c>
      <c r="F101" s="1" t="s">
        <v>17</v>
      </c>
      <c r="G101" s="1" t="s">
        <v>58</v>
      </c>
      <c r="H101" s="1" t="s">
        <v>6</v>
      </c>
      <c r="I101" s="1">
        <v>55</v>
      </c>
      <c r="J101" s="3">
        <v>4000</v>
      </c>
      <c r="K101" s="3">
        <f>Tbl_Datos[[#This Row],[Unidades]]*Tbl_Datos[[#This Row],[Precio Unitario]]</f>
        <v>220000</v>
      </c>
      <c r="L101" s="3" cm="1">
        <f t="array" ref="L101">_xlfn.IFS(F101="Camas",J101*68%,F101="Comederos",J101*60%,F101="Higiene",J101*55%,F101="Juguetes",J101*62%,F101="Transporte",J101*72%)</f>
        <v>2480</v>
      </c>
      <c r="M101" s="3">
        <f t="shared" si="3"/>
        <v>136400</v>
      </c>
      <c r="N101" s="3">
        <f t="shared" si="4"/>
        <v>83600</v>
      </c>
      <c r="O101" s="16">
        <f t="shared" si="5"/>
        <v>0.38</v>
      </c>
    </row>
    <row r="102" spans="1:15" x14ac:dyDescent="0.25">
      <c r="A102" s="1" t="s">
        <v>146</v>
      </c>
      <c r="B102" s="5">
        <v>46257</v>
      </c>
      <c r="C102" s="1" t="s">
        <v>8</v>
      </c>
      <c r="D102" s="1" t="s">
        <v>9</v>
      </c>
      <c r="E102" s="1" t="s">
        <v>3</v>
      </c>
      <c r="F102" s="1" t="s">
        <v>22</v>
      </c>
      <c r="G102" s="1" t="s">
        <v>40</v>
      </c>
      <c r="H102" s="1" t="s">
        <v>19</v>
      </c>
      <c r="I102" s="1">
        <v>46</v>
      </c>
      <c r="J102" s="3">
        <v>30600</v>
      </c>
      <c r="K102" s="3">
        <f>Tbl_Datos[[#This Row],[Unidades]]*Tbl_Datos[[#This Row],[Precio Unitario]]</f>
        <v>1407600</v>
      </c>
      <c r="L102" s="3" cm="1">
        <f t="array" ref="L102">_xlfn.IFS(F102="Camas",J102*68%,F102="Comederos",J102*60%,F102="Higiene",J102*55%,F102="Juguetes",J102*62%,F102="Transporte",J102*72%)</f>
        <v>22032</v>
      </c>
      <c r="M102" s="3">
        <f t="shared" si="3"/>
        <v>1013472</v>
      </c>
      <c r="N102" s="3">
        <f t="shared" si="4"/>
        <v>394128</v>
      </c>
      <c r="O102" s="16">
        <f t="shared" si="5"/>
        <v>0.28000000000000003</v>
      </c>
    </row>
    <row r="103" spans="1:15" x14ac:dyDescent="0.25">
      <c r="A103" s="1" t="s">
        <v>147</v>
      </c>
      <c r="B103" s="5">
        <v>46062</v>
      </c>
      <c r="C103" s="1" t="s">
        <v>1</v>
      </c>
      <c r="D103" s="1" t="s">
        <v>27</v>
      </c>
      <c r="E103" s="1" t="s">
        <v>36</v>
      </c>
      <c r="F103" s="1" t="s">
        <v>4</v>
      </c>
      <c r="G103" s="1" t="s">
        <v>71</v>
      </c>
      <c r="H103" s="1" t="s">
        <v>19</v>
      </c>
      <c r="I103" s="1">
        <v>52</v>
      </c>
      <c r="J103" s="3">
        <v>16200</v>
      </c>
      <c r="K103" s="3">
        <f>Tbl_Datos[[#This Row],[Unidades]]*Tbl_Datos[[#This Row],[Precio Unitario]]</f>
        <v>842400</v>
      </c>
      <c r="L103" s="3" cm="1">
        <f t="array" ref="L103">_xlfn.IFS(F103="Camas",J103*68%,F103="Comederos",J103*60%,F103="Higiene",J103*55%,F103="Juguetes",J103*62%,F103="Transporte",J103*72%)</f>
        <v>9720</v>
      </c>
      <c r="M103" s="3">
        <f t="shared" si="3"/>
        <v>505440</v>
      </c>
      <c r="N103" s="3">
        <f t="shared" si="4"/>
        <v>336960</v>
      </c>
      <c r="O103" s="16">
        <f t="shared" si="5"/>
        <v>0.4</v>
      </c>
    </row>
    <row r="104" spans="1:15" x14ac:dyDescent="0.25">
      <c r="A104" s="1" t="s">
        <v>148</v>
      </c>
      <c r="B104" s="5">
        <v>46151</v>
      </c>
      <c r="C104" s="1" t="s">
        <v>14</v>
      </c>
      <c r="D104" s="1" t="s">
        <v>33</v>
      </c>
      <c r="E104" s="1" t="s">
        <v>3</v>
      </c>
      <c r="F104" s="1" t="s">
        <v>42</v>
      </c>
      <c r="G104" s="1" t="s">
        <v>43</v>
      </c>
      <c r="H104" s="1" t="s">
        <v>19</v>
      </c>
      <c r="I104" s="1">
        <v>53</v>
      </c>
      <c r="J104" s="3">
        <v>13300</v>
      </c>
      <c r="K104" s="3">
        <f>Tbl_Datos[[#This Row],[Unidades]]*Tbl_Datos[[#This Row],[Precio Unitario]]</f>
        <v>704900</v>
      </c>
      <c r="L104" s="3" cm="1">
        <f t="array" ref="L104">_xlfn.IFS(F104="Camas",J104*68%,F104="Comederos",J104*60%,F104="Higiene",J104*55%,F104="Juguetes",J104*62%,F104="Transporte",J104*72%)</f>
        <v>7315.0000000000009</v>
      </c>
      <c r="M104" s="3">
        <f t="shared" si="3"/>
        <v>387695.00000000006</v>
      </c>
      <c r="N104" s="3">
        <f t="shared" si="4"/>
        <v>317204.99999999994</v>
      </c>
      <c r="O104" s="16">
        <f t="shared" si="5"/>
        <v>0.4499999999999999</v>
      </c>
    </row>
    <row r="105" spans="1:15" x14ac:dyDescent="0.25">
      <c r="A105" s="1" t="s">
        <v>149</v>
      </c>
      <c r="B105" s="5">
        <v>46239</v>
      </c>
      <c r="C105" s="1" t="s">
        <v>8</v>
      </c>
      <c r="D105" s="1" t="s">
        <v>21</v>
      </c>
      <c r="E105" s="1" t="s">
        <v>10</v>
      </c>
      <c r="F105" s="1" t="s">
        <v>22</v>
      </c>
      <c r="G105" s="1" t="s">
        <v>23</v>
      </c>
      <c r="H105" s="1" t="s">
        <v>24</v>
      </c>
      <c r="I105" s="1">
        <v>41</v>
      </c>
      <c r="J105" s="3">
        <v>50200</v>
      </c>
      <c r="K105" s="3">
        <f>Tbl_Datos[[#This Row],[Unidades]]*Tbl_Datos[[#This Row],[Precio Unitario]]</f>
        <v>2058200</v>
      </c>
      <c r="L105" s="3" cm="1">
        <f t="array" ref="L105">_xlfn.IFS(F105="Camas",J105*68%,F105="Comederos",J105*60%,F105="Higiene",J105*55%,F105="Juguetes",J105*62%,F105="Transporte",J105*72%)</f>
        <v>36144</v>
      </c>
      <c r="M105" s="3">
        <f t="shared" si="3"/>
        <v>1481904</v>
      </c>
      <c r="N105" s="3">
        <f t="shared" si="4"/>
        <v>576296</v>
      </c>
      <c r="O105" s="16">
        <f t="shared" si="5"/>
        <v>0.28000000000000003</v>
      </c>
    </row>
    <row r="106" spans="1:15" x14ac:dyDescent="0.25">
      <c r="A106" s="1" t="s">
        <v>150</v>
      </c>
      <c r="B106" s="5">
        <v>46073</v>
      </c>
      <c r="C106" s="1" t="s">
        <v>1</v>
      </c>
      <c r="D106" s="1" t="s">
        <v>33</v>
      </c>
      <c r="E106" s="1" t="s">
        <v>3</v>
      </c>
      <c r="F106" s="1" t="s">
        <v>4</v>
      </c>
      <c r="G106" s="1" t="s">
        <v>38</v>
      </c>
      <c r="H106" s="1" t="s">
        <v>6</v>
      </c>
      <c r="I106" s="1">
        <v>36</v>
      </c>
      <c r="J106" s="3">
        <v>8000</v>
      </c>
      <c r="K106" s="3">
        <f>Tbl_Datos[[#This Row],[Unidades]]*Tbl_Datos[[#This Row],[Precio Unitario]]</f>
        <v>288000</v>
      </c>
      <c r="L106" s="3" cm="1">
        <f t="array" ref="L106">_xlfn.IFS(F106="Camas",J106*68%,F106="Comederos",J106*60%,F106="Higiene",J106*55%,F106="Juguetes",J106*62%,F106="Transporte",J106*72%)</f>
        <v>4800</v>
      </c>
      <c r="M106" s="3">
        <f t="shared" si="3"/>
        <v>172800</v>
      </c>
      <c r="N106" s="3">
        <f t="shared" si="4"/>
        <v>115200</v>
      </c>
      <c r="O106" s="16">
        <f t="shared" si="5"/>
        <v>0.4</v>
      </c>
    </row>
    <row r="107" spans="1:15" x14ac:dyDescent="0.25">
      <c r="A107" s="1" t="s">
        <v>151</v>
      </c>
      <c r="B107" s="5">
        <v>46246</v>
      </c>
      <c r="C107" s="1" t="s">
        <v>8</v>
      </c>
      <c r="D107" s="1" t="s">
        <v>21</v>
      </c>
      <c r="E107" s="1" t="s">
        <v>10</v>
      </c>
      <c r="F107" s="1" t="s">
        <v>42</v>
      </c>
      <c r="G107" s="1" t="s">
        <v>65</v>
      </c>
      <c r="H107" s="1" t="s">
        <v>6</v>
      </c>
      <c r="I107" s="1">
        <v>39</v>
      </c>
      <c r="J107" s="3">
        <v>6200</v>
      </c>
      <c r="K107" s="3">
        <f>Tbl_Datos[[#This Row],[Unidades]]*Tbl_Datos[[#This Row],[Precio Unitario]]</f>
        <v>241800</v>
      </c>
      <c r="L107" s="3" cm="1">
        <f t="array" ref="L107">_xlfn.IFS(F107="Camas",J107*68%,F107="Comederos",J107*60%,F107="Higiene",J107*55%,F107="Juguetes",J107*62%,F107="Transporte",J107*72%)</f>
        <v>3410.0000000000005</v>
      </c>
      <c r="M107" s="3">
        <f t="shared" si="3"/>
        <v>132990.00000000003</v>
      </c>
      <c r="N107" s="3">
        <f t="shared" si="4"/>
        <v>108809.99999999997</v>
      </c>
      <c r="O107" s="16">
        <f t="shared" si="5"/>
        <v>0.4499999999999999</v>
      </c>
    </row>
    <row r="108" spans="1:15" x14ac:dyDescent="0.25">
      <c r="A108" s="1" t="s">
        <v>152</v>
      </c>
      <c r="B108" s="5">
        <v>46053</v>
      </c>
      <c r="C108" s="1" t="s">
        <v>32</v>
      </c>
      <c r="D108" s="1" t="s">
        <v>9</v>
      </c>
      <c r="E108" s="1" t="s">
        <v>16</v>
      </c>
      <c r="F108" s="1" t="s">
        <v>22</v>
      </c>
      <c r="G108" s="1" t="s">
        <v>40</v>
      </c>
      <c r="H108" s="1" t="s">
        <v>19</v>
      </c>
      <c r="I108" s="1">
        <v>24</v>
      </c>
      <c r="J108" s="3">
        <v>27400</v>
      </c>
      <c r="K108" s="3">
        <f>Tbl_Datos[[#This Row],[Unidades]]*Tbl_Datos[[#This Row],[Precio Unitario]]</f>
        <v>657600</v>
      </c>
      <c r="L108" s="3" cm="1">
        <f t="array" ref="L108">_xlfn.IFS(F108="Camas",J108*68%,F108="Comederos",J108*60%,F108="Higiene",J108*55%,F108="Juguetes",J108*62%,F108="Transporte",J108*72%)</f>
        <v>19728</v>
      </c>
      <c r="M108" s="3">
        <f t="shared" si="3"/>
        <v>473472</v>
      </c>
      <c r="N108" s="3">
        <f t="shared" si="4"/>
        <v>184128</v>
      </c>
      <c r="O108" s="16">
        <f t="shared" si="5"/>
        <v>0.28000000000000003</v>
      </c>
    </row>
    <row r="109" spans="1:15" x14ac:dyDescent="0.25">
      <c r="A109" s="1" t="s">
        <v>153</v>
      </c>
      <c r="B109" s="5">
        <v>46061</v>
      </c>
      <c r="C109" s="1" t="s">
        <v>1</v>
      </c>
      <c r="D109" s="1" t="s">
        <v>21</v>
      </c>
      <c r="E109" s="1" t="s">
        <v>3</v>
      </c>
      <c r="F109" s="1" t="s">
        <v>11</v>
      </c>
      <c r="G109" s="1" t="s">
        <v>144</v>
      </c>
      <c r="H109" s="1" t="s">
        <v>6</v>
      </c>
      <c r="I109" s="1">
        <v>4</v>
      </c>
      <c r="J109" s="3">
        <v>23300</v>
      </c>
      <c r="K109" s="3">
        <f>Tbl_Datos[[#This Row],[Unidades]]*Tbl_Datos[[#This Row],[Precio Unitario]]</f>
        <v>93200</v>
      </c>
      <c r="L109" s="3" cm="1">
        <f t="array" ref="L109">_xlfn.IFS(F109="Camas",J109*68%,F109="Comederos",J109*60%,F109="Higiene",J109*55%,F109="Juguetes",J109*62%,F109="Transporte",J109*72%)</f>
        <v>15844.000000000002</v>
      </c>
      <c r="M109" s="3">
        <f t="shared" si="3"/>
        <v>63376.000000000007</v>
      </c>
      <c r="N109" s="3">
        <f t="shared" si="4"/>
        <v>29823.999999999993</v>
      </c>
      <c r="O109" s="16">
        <f t="shared" si="5"/>
        <v>0.3199999999999999</v>
      </c>
    </row>
    <row r="110" spans="1:15" x14ac:dyDescent="0.25">
      <c r="A110" s="1" t="s">
        <v>154</v>
      </c>
      <c r="B110" s="5">
        <v>46145</v>
      </c>
      <c r="C110" s="1" t="s">
        <v>14</v>
      </c>
      <c r="D110" s="1" t="s">
        <v>33</v>
      </c>
      <c r="E110" s="1" t="s">
        <v>10</v>
      </c>
      <c r="F110" s="1" t="s">
        <v>4</v>
      </c>
      <c r="G110" s="1" t="s">
        <v>71</v>
      </c>
      <c r="H110" s="1" t="s">
        <v>24</v>
      </c>
      <c r="I110" s="1">
        <v>35</v>
      </c>
      <c r="J110" s="3">
        <v>16100</v>
      </c>
      <c r="K110" s="3">
        <f>Tbl_Datos[[#This Row],[Unidades]]*Tbl_Datos[[#This Row],[Precio Unitario]]</f>
        <v>563500</v>
      </c>
      <c r="L110" s="3" cm="1">
        <f t="array" ref="L110">_xlfn.IFS(F110="Camas",J110*68%,F110="Comederos",J110*60%,F110="Higiene",J110*55%,F110="Juguetes",J110*62%,F110="Transporte",J110*72%)</f>
        <v>9660</v>
      </c>
      <c r="M110" s="3">
        <f t="shared" si="3"/>
        <v>338100</v>
      </c>
      <c r="N110" s="3">
        <f t="shared" si="4"/>
        <v>225400</v>
      </c>
      <c r="O110" s="16">
        <f t="shared" si="5"/>
        <v>0.4</v>
      </c>
    </row>
    <row r="111" spans="1:15" x14ac:dyDescent="0.25">
      <c r="A111" s="1" t="s">
        <v>155</v>
      </c>
      <c r="B111" s="5">
        <v>46079</v>
      </c>
      <c r="C111" s="1" t="s">
        <v>1</v>
      </c>
      <c r="D111" s="1" t="s">
        <v>9</v>
      </c>
      <c r="E111" s="1" t="s">
        <v>3</v>
      </c>
      <c r="F111" s="1" t="s">
        <v>17</v>
      </c>
      <c r="G111" s="1" t="s">
        <v>74</v>
      </c>
      <c r="H111" s="1" t="s">
        <v>19</v>
      </c>
      <c r="I111" s="1">
        <v>23</v>
      </c>
      <c r="J111" s="3">
        <v>9900</v>
      </c>
      <c r="K111" s="3">
        <f>Tbl_Datos[[#This Row],[Unidades]]*Tbl_Datos[[#This Row],[Precio Unitario]]</f>
        <v>227700</v>
      </c>
      <c r="L111" s="3" cm="1">
        <f t="array" ref="L111">_xlfn.IFS(F111="Camas",J111*68%,F111="Comederos",J111*60%,F111="Higiene",J111*55%,F111="Juguetes",J111*62%,F111="Transporte",J111*72%)</f>
        <v>6138</v>
      </c>
      <c r="M111" s="3">
        <f t="shared" si="3"/>
        <v>141174</v>
      </c>
      <c r="N111" s="3">
        <f t="shared" si="4"/>
        <v>86526</v>
      </c>
      <c r="O111" s="16">
        <f t="shared" si="5"/>
        <v>0.38</v>
      </c>
    </row>
    <row r="112" spans="1:15" x14ac:dyDescent="0.25">
      <c r="A112" s="1" t="s">
        <v>156</v>
      </c>
      <c r="B112" s="5">
        <v>46215</v>
      </c>
      <c r="C112" s="1" t="s">
        <v>52</v>
      </c>
      <c r="D112" s="1" t="s">
        <v>2</v>
      </c>
      <c r="E112" s="1" t="s">
        <v>36</v>
      </c>
      <c r="F112" s="1" t="s">
        <v>17</v>
      </c>
      <c r="G112" s="1" t="s">
        <v>68</v>
      </c>
      <c r="H112" s="1" t="s">
        <v>6</v>
      </c>
      <c r="I112" s="1">
        <v>15</v>
      </c>
      <c r="J112" s="3">
        <v>5300</v>
      </c>
      <c r="K112" s="3">
        <f>Tbl_Datos[[#This Row],[Unidades]]*Tbl_Datos[[#This Row],[Precio Unitario]]</f>
        <v>79500</v>
      </c>
      <c r="L112" s="3" cm="1">
        <f t="array" ref="L112">_xlfn.IFS(F112="Camas",J112*68%,F112="Comederos",J112*60%,F112="Higiene",J112*55%,F112="Juguetes",J112*62%,F112="Transporte",J112*72%)</f>
        <v>3286</v>
      </c>
      <c r="M112" s="3">
        <f t="shared" si="3"/>
        <v>49290</v>
      </c>
      <c r="N112" s="3">
        <f t="shared" si="4"/>
        <v>30210</v>
      </c>
      <c r="O112" s="16">
        <f t="shared" si="5"/>
        <v>0.38</v>
      </c>
    </row>
    <row r="113" spans="1:15" x14ac:dyDescent="0.25">
      <c r="A113" s="1" t="s">
        <v>157</v>
      </c>
      <c r="B113" s="5">
        <v>46069</v>
      </c>
      <c r="C113" s="1" t="s">
        <v>1</v>
      </c>
      <c r="D113" s="1" t="s">
        <v>27</v>
      </c>
      <c r="E113" s="1" t="s">
        <v>10</v>
      </c>
      <c r="F113" s="1" t="s">
        <v>11</v>
      </c>
      <c r="G113" s="1" t="s">
        <v>28</v>
      </c>
      <c r="H113" s="1" t="s">
        <v>19</v>
      </c>
      <c r="I113" s="1">
        <v>46</v>
      </c>
      <c r="J113" s="3">
        <v>15500</v>
      </c>
      <c r="K113" s="3">
        <f>Tbl_Datos[[#This Row],[Unidades]]*Tbl_Datos[[#This Row],[Precio Unitario]]</f>
        <v>713000</v>
      </c>
      <c r="L113" s="3" cm="1">
        <f t="array" ref="L113">_xlfn.IFS(F113="Camas",J113*68%,F113="Comederos",J113*60%,F113="Higiene",J113*55%,F113="Juguetes",J113*62%,F113="Transporte",J113*72%)</f>
        <v>10540</v>
      </c>
      <c r="M113" s="3">
        <f t="shared" si="3"/>
        <v>484840</v>
      </c>
      <c r="N113" s="3">
        <f t="shared" si="4"/>
        <v>228160</v>
      </c>
      <c r="O113" s="16">
        <f t="shared" si="5"/>
        <v>0.32</v>
      </c>
    </row>
    <row r="114" spans="1:15" x14ac:dyDescent="0.25">
      <c r="A114" s="1" t="s">
        <v>158</v>
      </c>
      <c r="B114" s="5">
        <v>46164</v>
      </c>
      <c r="C114" s="1" t="s">
        <v>14</v>
      </c>
      <c r="D114" s="1" t="s">
        <v>9</v>
      </c>
      <c r="E114" s="1" t="s">
        <v>3</v>
      </c>
      <c r="F114" s="1" t="s">
        <v>11</v>
      </c>
      <c r="G114" s="1" t="s">
        <v>28</v>
      </c>
      <c r="H114" s="1" t="s">
        <v>6</v>
      </c>
      <c r="I114" s="1">
        <v>30</v>
      </c>
      <c r="J114" s="3">
        <v>14700</v>
      </c>
      <c r="K114" s="3">
        <f>Tbl_Datos[[#This Row],[Unidades]]*Tbl_Datos[[#This Row],[Precio Unitario]]</f>
        <v>441000</v>
      </c>
      <c r="L114" s="3" cm="1">
        <f t="array" ref="L114">_xlfn.IFS(F114="Camas",J114*68%,F114="Comederos",J114*60%,F114="Higiene",J114*55%,F114="Juguetes",J114*62%,F114="Transporte",J114*72%)</f>
        <v>9996</v>
      </c>
      <c r="M114" s="3">
        <f t="shared" si="3"/>
        <v>299880</v>
      </c>
      <c r="N114" s="3">
        <f t="shared" si="4"/>
        <v>141120</v>
      </c>
      <c r="O114" s="16">
        <f t="shared" si="5"/>
        <v>0.32</v>
      </c>
    </row>
    <row r="115" spans="1:15" x14ac:dyDescent="0.25">
      <c r="A115" s="1" t="s">
        <v>159</v>
      </c>
      <c r="B115" s="5">
        <v>46086</v>
      </c>
      <c r="C115" s="1" t="s">
        <v>26</v>
      </c>
      <c r="D115" s="1" t="s">
        <v>15</v>
      </c>
      <c r="E115" s="1" t="s">
        <v>53</v>
      </c>
      <c r="F115" s="1" t="s">
        <v>11</v>
      </c>
      <c r="G115" s="1" t="s">
        <v>144</v>
      </c>
      <c r="H115" s="1" t="s">
        <v>6</v>
      </c>
      <c r="I115" s="1">
        <v>40</v>
      </c>
      <c r="J115" s="3">
        <v>22900</v>
      </c>
      <c r="K115" s="3">
        <f>Tbl_Datos[[#This Row],[Unidades]]*Tbl_Datos[[#This Row],[Precio Unitario]]</f>
        <v>916000</v>
      </c>
      <c r="L115" s="3" cm="1">
        <f t="array" ref="L115">_xlfn.IFS(F115="Camas",J115*68%,F115="Comederos",J115*60%,F115="Higiene",J115*55%,F115="Juguetes",J115*62%,F115="Transporte",J115*72%)</f>
        <v>15572.000000000002</v>
      </c>
      <c r="M115" s="3">
        <f t="shared" si="3"/>
        <v>622880.00000000012</v>
      </c>
      <c r="N115" s="3">
        <f t="shared" si="4"/>
        <v>293119.99999999988</v>
      </c>
      <c r="O115" s="16">
        <f t="shared" si="5"/>
        <v>0.3199999999999999</v>
      </c>
    </row>
    <row r="116" spans="1:15" x14ac:dyDescent="0.25">
      <c r="A116" s="1" t="s">
        <v>160</v>
      </c>
      <c r="B116" s="5">
        <v>46253</v>
      </c>
      <c r="C116" s="1" t="s">
        <v>8</v>
      </c>
      <c r="D116" s="1" t="s">
        <v>9</v>
      </c>
      <c r="E116" s="1" t="s">
        <v>53</v>
      </c>
      <c r="F116" s="1" t="s">
        <v>11</v>
      </c>
      <c r="G116" s="1" t="s">
        <v>12</v>
      </c>
      <c r="H116" s="1" t="s">
        <v>24</v>
      </c>
      <c r="I116" s="1">
        <v>33</v>
      </c>
      <c r="J116" s="3">
        <v>20100</v>
      </c>
      <c r="K116" s="3">
        <f>Tbl_Datos[[#This Row],[Unidades]]*Tbl_Datos[[#This Row],[Precio Unitario]]</f>
        <v>663300</v>
      </c>
      <c r="L116" s="3" cm="1">
        <f t="array" ref="L116">_xlfn.IFS(F116="Camas",J116*68%,F116="Comederos",J116*60%,F116="Higiene",J116*55%,F116="Juguetes",J116*62%,F116="Transporte",J116*72%)</f>
        <v>13668.000000000002</v>
      </c>
      <c r="M116" s="3">
        <f t="shared" si="3"/>
        <v>451044.00000000006</v>
      </c>
      <c r="N116" s="3">
        <f t="shared" si="4"/>
        <v>212255.99999999994</v>
      </c>
      <c r="O116" s="16">
        <f t="shared" si="5"/>
        <v>0.3199999999999999</v>
      </c>
    </row>
    <row r="117" spans="1:15" x14ac:dyDescent="0.25">
      <c r="A117" s="1" t="s">
        <v>161</v>
      </c>
      <c r="B117" s="5">
        <v>46114</v>
      </c>
      <c r="C117" s="1" t="s">
        <v>47</v>
      </c>
      <c r="D117" s="1" t="s">
        <v>2</v>
      </c>
      <c r="E117" s="1" t="s">
        <v>3</v>
      </c>
      <c r="F117" s="1" t="s">
        <v>17</v>
      </c>
      <c r="G117" s="1" t="s">
        <v>58</v>
      </c>
      <c r="H117" s="1" t="s">
        <v>19</v>
      </c>
      <c r="I117" s="1">
        <v>36</v>
      </c>
      <c r="J117" s="3">
        <v>4300</v>
      </c>
      <c r="K117" s="3">
        <f>Tbl_Datos[[#This Row],[Unidades]]*Tbl_Datos[[#This Row],[Precio Unitario]]</f>
        <v>154800</v>
      </c>
      <c r="L117" s="3" cm="1">
        <f t="array" ref="L117">_xlfn.IFS(F117="Camas",J117*68%,F117="Comederos",J117*60%,F117="Higiene",J117*55%,F117="Juguetes",J117*62%,F117="Transporte",J117*72%)</f>
        <v>2666</v>
      </c>
      <c r="M117" s="3">
        <f t="shared" si="3"/>
        <v>95976</v>
      </c>
      <c r="N117" s="3">
        <f t="shared" si="4"/>
        <v>58824</v>
      </c>
      <c r="O117" s="16">
        <f t="shared" si="5"/>
        <v>0.38</v>
      </c>
    </row>
    <row r="118" spans="1:15" x14ac:dyDescent="0.25">
      <c r="A118" s="1" t="s">
        <v>162</v>
      </c>
      <c r="B118" s="5">
        <v>46189</v>
      </c>
      <c r="C118" s="1" t="s">
        <v>45</v>
      </c>
      <c r="D118" s="1" t="s">
        <v>9</v>
      </c>
      <c r="E118" s="1" t="s">
        <v>16</v>
      </c>
      <c r="F118" s="1" t="s">
        <v>42</v>
      </c>
      <c r="G118" s="1" t="s">
        <v>43</v>
      </c>
      <c r="H118" s="1" t="s">
        <v>19</v>
      </c>
      <c r="I118" s="1">
        <v>30</v>
      </c>
      <c r="J118" s="3">
        <v>13700</v>
      </c>
      <c r="K118" s="3">
        <f>Tbl_Datos[[#This Row],[Unidades]]*Tbl_Datos[[#This Row],[Precio Unitario]]</f>
        <v>411000</v>
      </c>
      <c r="L118" s="3" cm="1">
        <f t="array" ref="L118">_xlfn.IFS(F118="Camas",J118*68%,F118="Comederos",J118*60%,F118="Higiene",J118*55%,F118="Juguetes",J118*62%,F118="Transporte",J118*72%)</f>
        <v>7535.0000000000009</v>
      </c>
      <c r="M118" s="3">
        <f t="shared" si="3"/>
        <v>226050.00000000003</v>
      </c>
      <c r="N118" s="3">
        <f t="shared" si="4"/>
        <v>184949.99999999997</v>
      </c>
      <c r="O118" s="16">
        <f t="shared" si="5"/>
        <v>0.44999999999999996</v>
      </c>
    </row>
    <row r="119" spans="1:15" x14ac:dyDescent="0.25">
      <c r="A119" s="1" t="s">
        <v>163</v>
      </c>
      <c r="B119" s="5">
        <v>46133</v>
      </c>
      <c r="C119" s="1" t="s">
        <v>47</v>
      </c>
      <c r="D119" s="1" t="s">
        <v>33</v>
      </c>
      <c r="E119" s="1" t="s">
        <v>36</v>
      </c>
      <c r="F119" s="1" t="s">
        <v>22</v>
      </c>
      <c r="G119" s="1" t="s">
        <v>55</v>
      </c>
      <c r="H119" s="1" t="s">
        <v>19</v>
      </c>
      <c r="I119" s="1">
        <v>55</v>
      </c>
      <c r="J119" s="3">
        <v>38900</v>
      </c>
      <c r="K119" s="3">
        <f>Tbl_Datos[[#This Row],[Unidades]]*Tbl_Datos[[#This Row],[Precio Unitario]]</f>
        <v>2139500</v>
      </c>
      <c r="L119" s="3" cm="1">
        <f t="array" ref="L119">_xlfn.IFS(F119="Camas",J119*68%,F119="Comederos",J119*60%,F119="Higiene",J119*55%,F119="Juguetes",J119*62%,F119="Transporte",J119*72%)</f>
        <v>28008</v>
      </c>
      <c r="M119" s="3">
        <f t="shared" si="3"/>
        <v>1540440</v>
      </c>
      <c r="N119" s="3">
        <f t="shared" si="4"/>
        <v>599060</v>
      </c>
      <c r="O119" s="16">
        <f t="shared" si="5"/>
        <v>0.28000000000000003</v>
      </c>
    </row>
    <row r="120" spans="1:15" x14ac:dyDescent="0.25">
      <c r="A120" s="1" t="s">
        <v>164</v>
      </c>
      <c r="B120" s="5">
        <v>46077</v>
      </c>
      <c r="C120" s="1" t="s">
        <v>1</v>
      </c>
      <c r="D120" s="1" t="s">
        <v>27</v>
      </c>
      <c r="E120" s="1" t="s">
        <v>3</v>
      </c>
      <c r="F120" s="1" t="s">
        <v>42</v>
      </c>
      <c r="G120" s="1" t="s">
        <v>125</v>
      </c>
      <c r="H120" s="1" t="s">
        <v>19</v>
      </c>
      <c r="I120" s="1">
        <v>35</v>
      </c>
      <c r="J120" s="3">
        <v>8200</v>
      </c>
      <c r="K120" s="3">
        <f>Tbl_Datos[[#This Row],[Unidades]]*Tbl_Datos[[#This Row],[Precio Unitario]]</f>
        <v>287000</v>
      </c>
      <c r="L120" s="3" cm="1">
        <f t="array" ref="L120">_xlfn.IFS(F120="Camas",J120*68%,F120="Comederos",J120*60%,F120="Higiene",J120*55%,F120="Juguetes",J120*62%,F120="Transporte",J120*72%)</f>
        <v>4510</v>
      </c>
      <c r="M120" s="3">
        <f t="shared" si="3"/>
        <v>157850</v>
      </c>
      <c r="N120" s="3">
        <f t="shared" si="4"/>
        <v>129150</v>
      </c>
      <c r="O120" s="16">
        <f t="shared" si="5"/>
        <v>0.45</v>
      </c>
    </row>
    <row r="121" spans="1:15" x14ac:dyDescent="0.25">
      <c r="A121" s="1" t="s">
        <v>165</v>
      </c>
      <c r="B121" s="5">
        <v>46190</v>
      </c>
      <c r="C121" s="1" t="s">
        <v>45</v>
      </c>
      <c r="D121" s="1" t="s">
        <v>27</v>
      </c>
      <c r="E121" s="1" t="s">
        <v>10</v>
      </c>
      <c r="F121" s="1" t="s">
        <v>17</v>
      </c>
      <c r="G121" s="1" t="s">
        <v>74</v>
      </c>
      <c r="H121" s="1" t="s">
        <v>19</v>
      </c>
      <c r="I121" s="1">
        <v>29</v>
      </c>
      <c r="J121" s="3">
        <v>9700</v>
      </c>
      <c r="K121" s="3">
        <f>Tbl_Datos[[#This Row],[Unidades]]*Tbl_Datos[[#This Row],[Precio Unitario]]</f>
        <v>281300</v>
      </c>
      <c r="L121" s="3" cm="1">
        <f t="array" ref="L121">_xlfn.IFS(F121="Camas",J121*68%,F121="Comederos",J121*60%,F121="Higiene",J121*55%,F121="Juguetes",J121*62%,F121="Transporte",J121*72%)</f>
        <v>6014</v>
      </c>
      <c r="M121" s="3">
        <f t="shared" si="3"/>
        <v>174406</v>
      </c>
      <c r="N121" s="3">
        <f t="shared" si="4"/>
        <v>106894</v>
      </c>
      <c r="O121" s="16">
        <f t="shared" si="5"/>
        <v>0.38</v>
      </c>
    </row>
    <row r="122" spans="1:15" x14ac:dyDescent="0.25">
      <c r="A122" s="1" t="s">
        <v>166</v>
      </c>
      <c r="B122" s="5">
        <v>46062</v>
      </c>
      <c r="C122" s="1" t="s">
        <v>1</v>
      </c>
      <c r="D122" s="1" t="s">
        <v>33</v>
      </c>
      <c r="E122" s="1" t="s">
        <v>3</v>
      </c>
      <c r="F122" s="1" t="s">
        <v>22</v>
      </c>
      <c r="G122" s="1" t="s">
        <v>40</v>
      </c>
      <c r="H122" s="1" t="s">
        <v>19</v>
      </c>
      <c r="I122" s="1">
        <v>4</v>
      </c>
      <c r="J122" s="3">
        <v>30200</v>
      </c>
      <c r="K122" s="3">
        <f>Tbl_Datos[[#This Row],[Unidades]]*Tbl_Datos[[#This Row],[Precio Unitario]]</f>
        <v>120800</v>
      </c>
      <c r="L122" s="3" cm="1">
        <f t="array" ref="L122">_xlfn.IFS(F122="Camas",J122*68%,F122="Comederos",J122*60%,F122="Higiene",J122*55%,F122="Juguetes",J122*62%,F122="Transporte",J122*72%)</f>
        <v>21744</v>
      </c>
      <c r="M122" s="3">
        <f t="shared" si="3"/>
        <v>86976</v>
      </c>
      <c r="N122" s="3">
        <f t="shared" si="4"/>
        <v>33824</v>
      </c>
      <c r="O122" s="16">
        <f t="shared" si="5"/>
        <v>0.28000000000000003</v>
      </c>
    </row>
    <row r="123" spans="1:15" x14ac:dyDescent="0.25">
      <c r="A123" s="1" t="s">
        <v>167</v>
      </c>
      <c r="B123" s="5">
        <v>46136</v>
      </c>
      <c r="C123" s="1" t="s">
        <v>47</v>
      </c>
      <c r="D123" s="1" t="s">
        <v>2</v>
      </c>
      <c r="E123" s="1" t="s">
        <v>36</v>
      </c>
      <c r="F123" s="1" t="s">
        <v>22</v>
      </c>
      <c r="G123" s="1" t="s">
        <v>40</v>
      </c>
      <c r="H123" s="1" t="s">
        <v>24</v>
      </c>
      <c r="I123" s="1">
        <v>31</v>
      </c>
      <c r="J123" s="3">
        <v>28200</v>
      </c>
      <c r="K123" s="3">
        <f>Tbl_Datos[[#This Row],[Unidades]]*Tbl_Datos[[#This Row],[Precio Unitario]]</f>
        <v>874200</v>
      </c>
      <c r="L123" s="3" cm="1">
        <f t="array" ref="L123">_xlfn.IFS(F123="Camas",J123*68%,F123="Comederos",J123*60%,F123="Higiene",J123*55%,F123="Juguetes",J123*62%,F123="Transporte",J123*72%)</f>
        <v>20304</v>
      </c>
      <c r="M123" s="3">
        <f t="shared" si="3"/>
        <v>629424</v>
      </c>
      <c r="N123" s="3">
        <f t="shared" si="4"/>
        <v>244776</v>
      </c>
      <c r="O123" s="16">
        <f t="shared" si="5"/>
        <v>0.28000000000000003</v>
      </c>
    </row>
    <row r="124" spans="1:15" x14ac:dyDescent="0.25">
      <c r="A124" s="1" t="s">
        <v>168</v>
      </c>
      <c r="B124" s="5">
        <v>46221</v>
      </c>
      <c r="C124" s="1" t="s">
        <v>52</v>
      </c>
      <c r="D124" s="1" t="s">
        <v>27</v>
      </c>
      <c r="E124" s="1" t="s">
        <v>3</v>
      </c>
      <c r="F124" s="1" t="s">
        <v>17</v>
      </c>
      <c r="G124" s="1" t="s">
        <v>74</v>
      </c>
      <c r="H124" s="1" t="s">
        <v>6</v>
      </c>
      <c r="I124" s="1">
        <v>19</v>
      </c>
      <c r="J124" s="3">
        <v>10000</v>
      </c>
      <c r="K124" s="3">
        <f>Tbl_Datos[[#This Row],[Unidades]]*Tbl_Datos[[#This Row],[Precio Unitario]]</f>
        <v>190000</v>
      </c>
      <c r="L124" s="3" cm="1">
        <f t="array" ref="L124">_xlfn.IFS(F124="Camas",J124*68%,F124="Comederos",J124*60%,F124="Higiene",J124*55%,F124="Juguetes",J124*62%,F124="Transporte",J124*72%)</f>
        <v>6200</v>
      </c>
      <c r="M124" s="3">
        <f t="shared" si="3"/>
        <v>117800</v>
      </c>
      <c r="N124" s="3">
        <f t="shared" si="4"/>
        <v>72200</v>
      </c>
      <c r="O124" s="16">
        <f t="shared" si="5"/>
        <v>0.38</v>
      </c>
    </row>
    <row r="125" spans="1:15" x14ac:dyDescent="0.25">
      <c r="A125" s="1" t="s">
        <v>169</v>
      </c>
      <c r="B125" s="5">
        <v>46205</v>
      </c>
      <c r="C125" s="1" t="s">
        <v>52</v>
      </c>
      <c r="D125" s="1" t="s">
        <v>15</v>
      </c>
      <c r="E125" s="1" t="s">
        <v>53</v>
      </c>
      <c r="F125" s="1" t="s">
        <v>17</v>
      </c>
      <c r="G125" s="1" t="s">
        <v>74</v>
      </c>
      <c r="H125" s="1" t="s">
        <v>6</v>
      </c>
      <c r="I125" s="1">
        <v>40</v>
      </c>
      <c r="J125" s="3">
        <v>9500</v>
      </c>
      <c r="K125" s="3">
        <f>Tbl_Datos[[#This Row],[Unidades]]*Tbl_Datos[[#This Row],[Precio Unitario]]</f>
        <v>380000</v>
      </c>
      <c r="L125" s="3" cm="1">
        <f t="array" ref="L125">_xlfn.IFS(F125="Camas",J125*68%,F125="Comederos",J125*60%,F125="Higiene",J125*55%,F125="Juguetes",J125*62%,F125="Transporte",J125*72%)</f>
        <v>5890</v>
      </c>
      <c r="M125" s="3">
        <f t="shared" si="3"/>
        <v>235600</v>
      </c>
      <c r="N125" s="3">
        <f t="shared" si="4"/>
        <v>144400</v>
      </c>
      <c r="O125" s="16">
        <f t="shared" si="5"/>
        <v>0.38</v>
      </c>
    </row>
    <row r="126" spans="1:15" x14ac:dyDescent="0.25">
      <c r="A126" s="1" t="s">
        <v>170</v>
      </c>
      <c r="B126" s="5">
        <v>46102</v>
      </c>
      <c r="C126" s="1" t="s">
        <v>26</v>
      </c>
      <c r="D126" s="1" t="s">
        <v>21</v>
      </c>
      <c r="E126" s="1" t="s">
        <v>3</v>
      </c>
      <c r="F126" s="1" t="s">
        <v>42</v>
      </c>
      <c r="G126" s="1" t="s">
        <v>65</v>
      </c>
      <c r="H126" s="1" t="s">
        <v>19</v>
      </c>
      <c r="I126" s="1">
        <v>51</v>
      </c>
      <c r="J126" s="3">
        <v>5700</v>
      </c>
      <c r="K126" s="3">
        <f>Tbl_Datos[[#This Row],[Unidades]]*Tbl_Datos[[#This Row],[Precio Unitario]]</f>
        <v>290700</v>
      </c>
      <c r="L126" s="3" cm="1">
        <f t="array" ref="L126">_xlfn.IFS(F126="Camas",J126*68%,F126="Comederos",J126*60%,F126="Higiene",J126*55%,F126="Juguetes",J126*62%,F126="Transporte",J126*72%)</f>
        <v>3135.0000000000005</v>
      </c>
      <c r="M126" s="3">
        <f t="shared" si="3"/>
        <v>159885.00000000003</v>
      </c>
      <c r="N126" s="3">
        <f t="shared" si="4"/>
        <v>130814.99999999997</v>
      </c>
      <c r="O126" s="16">
        <f t="shared" si="5"/>
        <v>0.4499999999999999</v>
      </c>
    </row>
    <row r="127" spans="1:15" x14ac:dyDescent="0.25">
      <c r="A127" s="1" t="s">
        <v>171</v>
      </c>
      <c r="B127" s="5">
        <v>46067</v>
      </c>
      <c r="C127" s="1" t="s">
        <v>1</v>
      </c>
      <c r="D127" s="1" t="s">
        <v>21</v>
      </c>
      <c r="E127" s="1" t="s">
        <v>53</v>
      </c>
      <c r="F127" s="1" t="s">
        <v>4</v>
      </c>
      <c r="G127" s="1" t="s">
        <v>34</v>
      </c>
      <c r="H127" s="1" t="s">
        <v>19</v>
      </c>
      <c r="I127" s="1">
        <v>13</v>
      </c>
      <c r="J127" s="3">
        <v>4000</v>
      </c>
      <c r="K127" s="3">
        <f>Tbl_Datos[[#This Row],[Unidades]]*Tbl_Datos[[#This Row],[Precio Unitario]]</f>
        <v>52000</v>
      </c>
      <c r="L127" s="3" cm="1">
        <f t="array" ref="L127">_xlfn.IFS(F127="Camas",J127*68%,F127="Comederos",J127*60%,F127="Higiene",J127*55%,F127="Juguetes",J127*62%,F127="Transporte",J127*72%)</f>
        <v>2400</v>
      </c>
      <c r="M127" s="3">
        <f t="shared" si="3"/>
        <v>31200</v>
      </c>
      <c r="N127" s="3">
        <f t="shared" si="4"/>
        <v>20800</v>
      </c>
      <c r="O127" s="16">
        <f t="shared" si="5"/>
        <v>0.4</v>
      </c>
    </row>
    <row r="128" spans="1:15" x14ac:dyDescent="0.25">
      <c r="A128" s="1" t="s">
        <v>172</v>
      </c>
      <c r="B128" s="5">
        <v>46065</v>
      </c>
      <c r="C128" s="1" t="s">
        <v>1</v>
      </c>
      <c r="D128" s="1" t="s">
        <v>2</v>
      </c>
      <c r="E128" s="1" t="s">
        <v>3</v>
      </c>
      <c r="F128" s="1" t="s">
        <v>42</v>
      </c>
      <c r="G128" s="1" t="s">
        <v>43</v>
      </c>
      <c r="H128" s="1" t="s">
        <v>19</v>
      </c>
      <c r="I128" s="1">
        <v>4</v>
      </c>
      <c r="J128" s="3">
        <v>12700</v>
      </c>
      <c r="K128" s="3">
        <f>Tbl_Datos[[#This Row],[Unidades]]*Tbl_Datos[[#This Row],[Precio Unitario]]</f>
        <v>50800</v>
      </c>
      <c r="L128" s="3" cm="1">
        <f t="array" ref="L128">_xlfn.IFS(F128="Camas",J128*68%,F128="Comederos",J128*60%,F128="Higiene",J128*55%,F128="Juguetes",J128*62%,F128="Transporte",J128*72%)</f>
        <v>6985.0000000000009</v>
      </c>
      <c r="M128" s="3">
        <f t="shared" si="3"/>
        <v>27940.000000000004</v>
      </c>
      <c r="N128" s="3">
        <f t="shared" si="4"/>
        <v>22859.999999999996</v>
      </c>
      <c r="O128" s="16">
        <f t="shared" si="5"/>
        <v>0.44999999999999996</v>
      </c>
    </row>
    <row r="129" spans="1:15" x14ac:dyDescent="0.25">
      <c r="A129" s="1" t="s">
        <v>173</v>
      </c>
      <c r="B129" s="5">
        <v>46124</v>
      </c>
      <c r="C129" s="1" t="s">
        <v>47</v>
      </c>
      <c r="D129" s="1" t="s">
        <v>2</v>
      </c>
      <c r="E129" s="1" t="s">
        <v>3</v>
      </c>
      <c r="F129" s="1" t="s">
        <v>11</v>
      </c>
      <c r="G129" s="1" t="s">
        <v>12</v>
      </c>
      <c r="H129" s="1" t="s">
        <v>6</v>
      </c>
      <c r="I129" s="1">
        <v>46</v>
      </c>
      <c r="J129" s="3">
        <v>20000</v>
      </c>
      <c r="K129" s="3">
        <f>Tbl_Datos[[#This Row],[Unidades]]*Tbl_Datos[[#This Row],[Precio Unitario]]</f>
        <v>920000</v>
      </c>
      <c r="L129" s="3" cm="1">
        <f t="array" ref="L129">_xlfn.IFS(F129="Camas",J129*68%,F129="Comederos",J129*60%,F129="Higiene",J129*55%,F129="Juguetes",J129*62%,F129="Transporte",J129*72%)</f>
        <v>13600.000000000002</v>
      </c>
      <c r="M129" s="3">
        <f t="shared" si="3"/>
        <v>625600.00000000012</v>
      </c>
      <c r="N129" s="3">
        <f t="shared" si="4"/>
        <v>294399.99999999988</v>
      </c>
      <c r="O129" s="16">
        <f t="shared" si="5"/>
        <v>0.3199999999999999</v>
      </c>
    </row>
    <row r="130" spans="1:15" x14ac:dyDescent="0.25">
      <c r="A130" s="1" t="s">
        <v>174</v>
      </c>
      <c r="B130" s="5">
        <v>46109</v>
      </c>
      <c r="C130" s="1" t="s">
        <v>26</v>
      </c>
      <c r="D130" s="1" t="s">
        <v>9</v>
      </c>
      <c r="E130" s="1" t="s">
        <v>3</v>
      </c>
      <c r="F130" s="1" t="s">
        <v>17</v>
      </c>
      <c r="G130" s="1" t="s">
        <v>74</v>
      </c>
      <c r="H130" s="1" t="s">
        <v>19</v>
      </c>
      <c r="I130" s="1">
        <v>50</v>
      </c>
      <c r="J130" s="3">
        <v>10500</v>
      </c>
      <c r="K130" s="3">
        <f>Tbl_Datos[[#This Row],[Unidades]]*Tbl_Datos[[#This Row],[Precio Unitario]]</f>
        <v>525000</v>
      </c>
      <c r="L130" s="3" cm="1">
        <f t="array" ref="L130">_xlfn.IFS(F130="Camas",J130*68%,F130="Comederos",J130*60%,F130="Higiene",J130*55%,F130="Juguetes",J130*62%,F130="Transporte",J130*72%)</f>
        <v>6510</v>
      </c>
      <c r="M130" s="3">
        <f t="shared" ref="M130:M193" si="6">I130*L130</f>
        <v>325500</v>
      </c>
      <c r="N130" s="3">
        <f t="shared" ref="N130:N193" si="7">K130-M130</f>
        <v>199500</v>
      </c>
      <c r="O130" s="16">
        <f t="shared" ref="O130:O193" si="8">N130/K130</f>
        <v>0.38</v>
      </c>
    </row>
    <row r="131" spans="1:15" x14ac:dyDescent="0.25">
      <c r="A131" s="1" t="s">
        <v>175</v>
      </c>
      <c r="B131" s="5">
        <v>46027</v>
      </c>
      <c r="C131" s="1" t="s">
        <v>32</v>
      </c>
      <c r="D131" s="1" t="s">
        <v>15</v>
      </c>
      <c r="E131" s="1" t="s">
        <v>36</v>
      </c>
      <c r="F131" s="1" t="s">
        <v>22</v>
      </c>
      <c r="G131" s="1" t="s">
        <v>40</v>
      </c>
      <c r="H131" s="1" t="s">
        <v>19</v>
      </c>
      <c r="I131" s="1">
        <v>45</v>
      </c>
      <c r="J131" s="3">
        <v>27700</v>
      </c>
      <c r="K131" s="3">
        <f>Tbl_Datos[[#This Row],[Unidades]]*Tbl_Datos[[#This Row],[Precio Unitario]]</f>
        <v>1246500</v>
      </c>
      <c r="L131" s="3" cm="1">
        <f t="array" ref="L131">_xlfn.IFS(F131="Camas",J131*68%,F131="Comederos",J131*60%,F131="Higiene",J131*55%,F131="Juguetes",J131*62%,F131="Transporte",J131*72%)</f>
        <v>19944</v>
      </c>
      <c r="M131" s="3">
        <f t="shared" si="6"/>
        <v>897480</v>
      </c>
      <c r="N131" s="3">
        <f t="shared" si="7"/>
        <v>349020</v>
      </c>
      <c r="O131" s="16">
        <f t="shared" si="8"/>
        <v>0.28000000000000003</v>
      </c>
    </row>
    <row r="132" spans="1:15" x14ac:dyDescent="0.25">
      <c r="A132" s="1" t="s">
        <v>176</v>
      </c>
      <c r="B132" s="5">
        <v>46173</v>
      </c>
      <c r="C132" s="1" t="s">
        <v>14</v>
      </c>
      <c r="D132" s="1" t="s">
        <v>27</v>
      </c>
      <c r="E132" s="1" t="s">
        <v>53</v>
      </c>
      <c r="F132" s="1" t="s">
        <v>42</v>
      </c>
      <c r="G132" s="1" t="s">
        <v>65</v>
      </c>
      <c r="H132" s="1" t="s">
        <v>19</v>
      </c>
      <c r="I132" s="1">
        <v>29</v>
      </c>
      <c r="J132" s="3">
        <v>6000</v>
      </c>
      <c r="K132" s="3">
        <f>Tbl_Datos[[#This Row],[Unidades]]*Tbl_Datos[[#This Row],[Precio Unitario]]</f>
        <v>174000</v>
      </c>
      <c r="L132" s="3" cm="1">
        <f t="array" ref="L132">_xlfn.IFS(F132="Camas",J132*68%,F132="Comederos",J132*60%,F132="Higiene",J132*55%,F132="Juguetes",J132*62%,F132="Transporte",J132*72%)</f>
        <v>3300.0000000000005</v>
      </c>
      <c r="M132" s="3">
        <f t="shared" si="6"/>
        <v>95700.000000000015</v>
      </c>
      <c r="N132" s="3">
        <f t="shared" si="7"/>
        <v>78299.999999999985</v>
      </c>
      <c r="O132" s="16">
        <f t="shared" si="8"/>
        <v>0.4499999999999999</v>
      </c>
    </row>
    <row r="133" spans="1:15" x14ac:dyDescent="0.25">
      <c r="A133" s="1" t="s">
        <v>177</v>
      </c>
      <c r="B133" s="5">
        <v>46074</v>
      </c>
      <c r="C133" s="1" t="s">
        <v>1</v>
      </c>
      <c r="D133" s="1" t="s">
        <v>9</v>
      </c>
      <c r="E133" s="1" t="s">
        <v>10</v>
      </c>
      <c r="F133" s="1" t="s">
        <v>22</v>
      </c>
      <c r="G133" s="1" t="s">
        <v>23</v>
      </c>
      <c r="H133" s="1" t="s">
        <v>19</v>
      </c>
      <c r="I133" s="1">
        <v>15</v>
      </c>
      <c r="J133" s="3">
        <v>46200</v>
      </c>
      <c r="K133" s="3">
        <f>Tbl_Datos[[#This Row],[Unidades]]*Tbl_Datos[[#This Row],[Precio Unitario]]</f>
        <v>693000</v>
      </c>
      <c r="L133" s="3" cm="1">
        <f t="array" ref="L133">_xlfn.IFS(F133="Camas",J133*68%,F133="Comederos",J133*60%,F133="Higiene",J133*55%,F133="Juguetes",J133*62%,F133="Transporte",J133*72%)</f>
        <v>33264</v>
      </c>
      <c r="M133" s="3">
        <f t="shared" si="6"/>
        <v>498960</v>
      </c>
      <c r="N133" s="3">
        <f t="shared" si="7"/>
        <v>194040</v>
      </c>
      <c r="O133" s="16">
        <f t="shared" si="8"/>
        <v>0.28000000000000003</v>
      </c>
    </row>
    <row r="134" spans="1:15" x14ac:dyDescent="0.25">
      <c r="A134" s="1" t="s">
        <v>178</v>
      </c>
      <c r="B134" s="5">
        <v>46078</v>
      </c>
      <c r="C134" s="1" t="s">
        <v>1</v>
      </c>
      <c r="D134" s="1" t="s">
        <v>15</v>
      </c>
      <c r="E134" s="1" t="s">
        <v>10</v>
      </c>
      <c r="F134" s="1" t="s">
        <v>11</v>
      </c>
      <c r="G134" s="1" t="s">
        <v>28</v>
      </c>
      <c r="H134" s="1" t="s">
        <v>24</v>
      </c>
      <c r="I134" s="1">
        <v>41</v>
      </c>
      <c r="J134" s="3">
        <v>14900</v>
      </c>
      <c r="K134" s="3">
        <f>Tbl_Datos[[#This Row],[Unidades]]*Tbl_Datos[[#This Row],[Precio Unitario]]</f>
        <v>610900</v>
      </c>
      <c r="L134" s="3" cm="1">
        <f t="array" ref="L134">_xlfn.IFS(F134="Camas",J134*68%,F134="Comederos",J134*60%,F134="Higiene",J134*55%,F134="Juguetes",J134*62%,F134="Transporte",J134*72%)</f>
        <v>10132</v>
      </c>
      <c r="M134" s="3">
        <f t="shared" si="6"/>
        <v>415412</v>
      </c>
      <c r="N134" s="3">
        <f t="shared" si="7"/>
        <v>195488</v>
      </c>
      <c r="O134" s="16">
        <f t="shared" si="8"/>
        <v>0.32</v>
      </c>
    </row>
    <row r="135" spans="1:15" x14ac:dyDescent="0.25">
      <c r="A135" s="1" t="s">
        <v>179</v>
      </c>
      <c r="B135" s="5">
        <v>46196</v>
      </c>
      <c r="C135" s="1" t="s">
        <v>45</v>
      </c>
      <c r="D135" s="1" t="s">
        <v>9</v>
      </c>
      <c r="E135" s="1" t="s">
        <v>3</v>
      </c>
      <c r="F135" s="1" t="s">
        <v>42</v>
      </c>
      <c r="G135" s="1" t="s">
        <v>43</v>
      </c>
      <c r="H135" s="1" t="s">
        <v>6</v>
      </c>
      <c r="I135" s="1">
        <v>54</v>
      </c>
      <c r="J135" s="3">
        <v>13500</v>
      </c>
      <c r="K135" s="3">
        <f>Tbl_Datos[[#This Row],[Unidades]]*Tbl_Datos[[#This Row],[Precio Unitario]]</f>
        <v>729000</v>
      </c>
      <c r="L135" s="3" cm="1">
        <f t="array" ref="L135">_xlfn.IFS(F135="Camas",J135*68%,F135="Comederos",J135*60%,F135="Higiene",J135*55%,F135="Juguetes",J135*62%,F135="Transporte",J135*72%)</f>
        <v>7425.0000000000009</v>
      </c>
      <c r="M135" s="3">
        <f t="shared" si="6"/>
        <v>400950.00000000006</v>
      </c>
      <c r="N135" s="3">
        <f t="shared" si="7"/>
        <v>328049.99999999994</v>
      </c>
      <c r="O135" s="16">
        <f t="shared" si="8"/>
        <v>0.4499999999999999</v>
      </c>
    </row>
    <row r="136" spans="1:15" x14ac:dyDescent="0.25">
      <c r="A136" s="1" t="s">
        <v>180</v>
      </c>
      <c r="B136" s="5">
        <v>46045</v>
      </c>
      <c r="C136" s="1" t="s">
        <v>32</v>
      </c>
      <c r="D136" s="1" t="s">
        <v>2</v>
      </c>
      <c r="E136" s="1" t="s">
        <v>10</v>
      </c>
      <c r="F136" s="1" t="s">
        <v>22</v>
      </c>
      <c r="G136" s="1" t="s">
        <v>40</v>
      </c>
      <c r="H136" s="1" t="s">
        <v>19</v>
      </c>
      <c r="I136" s="1">
        <v>23</v>
      </c>
      <c r="J136" s="3">
        <v>28800</v>
      </c>
      <c r="K136" s="3">
        <f>Tbl_Datos[[#This Row],[Unidades]]*Tbl_Datos[[#This Row],[Precio Unitario]]</f>
        <v>662400</v>
      </c>
      <c r="L136" s="3" cm="1">
        <f t="array" ref="L136">_xlfn.IFS(F136="Camas",J136*68%,F136="Comederos",J136*60%,F136="Higiene",J136*55%,F136="Juguetes",J136*62%,F136="Transporte",J136*72%)</f>
        <v>20736</v>
      </c>
      <c r="M136" s="3">
        <f t="shared" si="6"/>
        <v>476928</v>
      </c>
      <c r="N136" s="3">
        <f t="shared" si="7"/>
        <v>185472</v>
      </c>
      <c r="O136" s="16">
        <f t="shared" si="8"/>
        <v>0.28000000000000003</v>
      </c>
    </row>
    <row r="137" spans="1:15" x14ac:dyDescent="0.25">
      <c r="A137" s="1" t="s">
        <v>181</v>
      </c>
      <c r="B137" s="5">
        <v>46257</v>
      </c>
      <c r="C137" s="1" t="s">
        <v>8</v>
      </c>
      <c r="D137" s="1" t="s">
        <v>9</v>
      </c>
      <c r="E137" s="1" t="s">
        <v>53</v>
      </c>
      <c r="F137" s="1" t="s">
        <v>4</v>
      </c>
      <c r="G137" s="1" t="s">
        <v>38</v>
      </c>
      <c r="H137" s="1" t="s">
        <v>6</v>
      </c>
      <c r="I137" s="1">
        <v>25</v>
      </c>
      <c r="J137" s="3">
        <v>7600</v>
      </c>
      <c r="K137" s="3">
        <f>Tbl_Datos[[#This Row],[Unidades]]*Tbl_Datos[[#This Row],[Precio Unitario]]</f>
        <v>190000</v>
      </c>
      <c r="L137" s="3" cm="1">
        <f t="array" ref="L137">_xlfn.IFS(F137="Camas",J137*68%,F137="Comederos",J137*60%,F137="Higiene",J137*55%,F137="Juguetes",J137*62%,F137="Transporte",J137*72%)</f>
        <v>4560</v>
      </c>
      <c r="M137" s="3">
        <f t="shared" si="6"/>
        <v>114000</v>
      </c>
      <c r="N137" s="3">
        <f t="shared" si="7"/>
        <v>76000</v>
      </c>
      <c r="O137" s="16">
        <f t="shared" si="8"/>
        <v>0.4</v>
      </c>
    </row>
    <row r="138" spans="1:15" x14ac:dyDescent="0.25">
      <c r="A138" s="1" t="s">
        <v>182</v>
      </c>
      <c r="B138" s="5">
        <v>46194</v>
      </c>
      <c r="C138" s="1" t="s">
        <v>45</v>
      </c>
      <c r="D138" s="1" t="s">
        <v>27</v>
      </c>
      <c r="E138" s="1" t="s">
        <v>10</v>
      </c>
      <c r="F138" s="1" t="s">
        <v>42</v>
      </c>
      <c r="G138" s="1" t="s">
        <v>125</v>
      </c>
      <c r="H138" s="1" t="s">
        <v>19</v>
      </c>
      <c r="I138" s="1">
        <v>18</v>
      </c>
      <c r="J138" s="3">
        <v>7300</v>
      </c>
      <c r="K138" s="3">
        <f>Tbl_Datos[[#This Row],[Unidades]]*Tbl_Datos[[#This Row],[Precio Unitario]]</f>
        <v>131400</v>
      </c>
      <c r="L138" s="3" cm="1">
        <f t="array" ref="L138">_xlfn.IFS(F138="Camas",J138*68%,F138="Comederos",J138*60%,F138="Higiene",J138*55%,F138="Juguetes",J138*62%,F138="Transporte",J138*72%)</f>
        <v>4015.0000000000005</v>
      </c>
      <c r="M138" s="3">
        <f t="shared" si="6"/>
        <v>72270.000000000015</v>
      </c>
      <c r="N138" s="3">
        <f t="shared" si="7"/>
        <v>59129.999999999985</v>
      </c>
      <c r="O138" s="16">
        <f t="shared" si="8"/>
        <v>0.4499999999999999</v>
      </c>
    </row>
    <row r="139" spans="1:15" x14ac:dyDescent="0.25">
      <c r="A139" s="1" t="s">
        <v>183</v>
      </c>
      <c r="B139" s="5">
        <v>46230</v>
      </c>
      <c r="C139" s="1" t="s">
        <v>52</v>
      </c>
      <c r="D139" s="1" t="s">
        <v>9</v>
      </c>
      <c r="E139" s="1" t="s">
        <v>10</v>
      </c>
      <c r="F139" s="1" t="s">
        <v>22</v>
      </c>
      <c r="G139" s="1" t="s">
        <v>23</v>
      </c>
      <c r="H139" s="1" t="s">
        <v>19</v>
      </c>
      <c r="I139" s="1">
        <v>48</v>
      </c>
      <c r="J139" s="3">
        <v>50600</v>
      </c>
      <c r="K139" s="3">
        <f>Tbl_Datos[[#This Row],[Unidades]]*Tbl_Datos[[#This Row],[Precio Unitario]]</f>
        <v>2428800</v>
      </c>
      <c r="L139" s="3" cm="1">
        <f t="array" ref="L139">_xlfn.IFS(F139="Camas",J139*68%,F139="Comederos",J139*60%,F139="Higiene",J139*55%,F139="Juguetes",J139*62%,F139="Transporte",J139*72%)</f>
        <v>36432</v>
      </c>
      <c r="M139" s="3">
        <f t="shared" si="6"/>
        <v>1748736</v>
      </c>
      <c r="N139" s="3">
        <f t="shared" si="7"/>
        <v>680064</v>
      </c>
      <c r="O139" s="16">
        <f t="shared" si="8"/>
        <v>0.28000000000000003</v>
      </c>
    </row>
    <row r="140" spans="1:15" x14ac:dyDescent="0.25">
      <c r="A140" s="1" t="s">
        <v>184</v>
      </c>
      <c r="B140" s="5">
        <v>46239</v>
      </c>
      <c r="C140" s="1" t="s">
        <v>8</v>
      </c>
      <c r="D140" s="1" t="s">
        <v>15</v>
      </c>
      <c r="E140" s="1" t="s">
        <v>16</v>
      </c>
      <c r="F140" s="1" t="s">
        <v>22</v>
      </c>
      <c r="G140" s="1" t="s">
        <v>23</v>
      </c>
      <c r="H140" s="1" t="s">
        <v>19</v>
      </c>
      <c r="I140" s="1">
        <v>36</v>
      </c>
      <c r="J140" s="3">
        <v>50400</v>
      </c>
      <c r="K140" s="3">
        <f>Tbl_Datos[[#This Row],[Unidades]]*Tbl_Datos[[#This Row],[Precio Unitario]]</f>
        <v>1814400</v>
      </c>
      <c r="L140" s="3" cm="1">
        <f t="array" ref="L140">_xlfn.IFS(F140="Camas",J140*68%,F140="Comederos",J140*60%,F140="Higiene",J140*55%,F140="Juguetes",J140*62%,F140="Transporte",J140*72%)</f>
        <v>36288</v>
      </c>
      <c r="M140" s="3">
        <f t="shared" si="6"/>
        <v>1306368</v>
      </c>
      <c r="N140" s="3">
        <f t="shared" si="7"/>
        <v>508032</v>
      </c>
      <c r="O140" s="16">
        <f t="shared" si="8"/>
        <v>0.28000000000000003</v>
      </c>
    </row>
    <row r="141" spans="1:15" x14ac:dyDescent="0.25">
      <c r="A141" s="1" t="s">
        <v>185</v>
      </c>
      <c r="B141" s="5">
        <v>46231</v>
      </c>
      <c r="C141" s="1" t="s">
        <v>52</v>
      </c>
      <c r="D141" s="1" t="s">
        <v>27</v>
      </c>
      <c r="E141" s="1" t="s">
        <v>53</v>
      </c>
      <c r="F141" s="1" t="s">
        <v>4</v>
      </c>
      <c r="G141" s="1" t="s">
        <v>5</v>
      </c>
      <c r="H141" s="1" t="s">
        <v>19</v>
      </c>
      <c r="I141" s="1">
        <v>9</v>
      </c>
      <c r="J141" s="3">
        <v>6200</v>
      </c>
      <c r="K141" s="3">
        <f>Tbl_Datos[[#This Row],[Unidades]]*Tbl_Datos[[#This Row],[Precio Unitario]]</f>
        <v>55800</v>
      </c>
      <c r="L141" s="3" cm="1">
        <f t="array" ref="L141">_xlfn.IFS(F141="Camas",J141*68%,F141="Comederos",J141*60%,F141="Higiene",J141*55%,F141="Juguetes",J141*62%,F141="Transporte",J141*72%)</f>
        <v>3720</v>
      </c>
      <c r="M141" s="3">
        <f t="shared" si="6"/>
        <v>33480</v>
      </c>
      <c r="N141" s="3">
        <f t="shared" si="7"/>
        <v>22320</v>
      </c>
      <c r="O141" s="16">
        <f t="shared" si="8"/>
        <v>0.4</v>
      </c>
    </row>
    <row r="142" spans="1:15" x14ac:dyDescent="0.25">
      <c r="A142" s="1" t="s">
        <v>186</v>
      </c>
      <c r="B142" s="5">
        <v>46138</v>
      </c>
      <c r="C142" s="1" t="s">
        <v>47</v>
      </c>
      <c r="D142" s="1" t="s">
        <v>15</v>
      </c>
      <c r="E142" s="1" t="s">
        <v>3</v>
      </c>
      <c r="F142" s="1" t="s">
        <v>42</v>
      </c>
      <c r="G142" s="1" t="s">
        <v>43</v>
      </c>
      <c r="H142" s="1" t="s">
        <v>19</v>
      </c>
      <c r="I142" s="1">
        <v>53</v>
      </c>
      <c r="J142" s="3">
        <v>13300</v>
      </c>
      <c r="K142" s="3">
        <f>Tbl_Datos[[#This Row],[Unidades]]*Tbl_Datos[[#This Row],[Precio Unitario]]</f>
        <v>704900</v>
      </c>
      <c r="L142" s="3" cm="1">
        <f t="array" ref="L142">_xlfn.IFS(F142="Camas",J142*68%,F142="Comederos",J142*60%,F142="Higiene",J142*55%,F142="Juguetes",J142*62%,F142="Transporte",J142*72%)</f>
        <v>7315.0000000000009</v>
      </c>
      <c r="M142" s="3">
        <f t="shared" si="6"/>
        <v>387695.00000000006</v>
      </c>
      <c r="N142" s="3">
        <f t="shared" si="7"/>
        <v>317204.99999999994</v>
      </c>
      <c r="O142" s="16">
        <f t="shared" si="8"/>
        <v>0.4499999999999999</v>
      </c>
    </row>
    <row r="143" spans="1:15" x14ac:dyDescent="0.25">
      <c r="A143" s="1" t="s">
        <v>187</v>
      </c>
      <c r="B143" s="5">
        <v>46170</v>
      </c>
      <c r="C143" s="1" t="s">
        <v>14</v>
      </c>
      <c r="D143" s="1" t="s">
        <v>33</v>
      </c>
      <c r="E143" s="1" t="s">
        <v>36</v>
      </c>
      <c r="F143" s="1" t="s">
        <v>17</v>
      </c>
      <c r="G143" s="1" t="s">
        <v>18</v>
      </c>
      <c r="H143" s="1" t="s">
        <v>6</v>
      </c>
      <c r="I143" s="1">
        <v>40</v>
      </c>
      <c r="J143" s="3">
        <v>3000</v>
      </c>
      <c r="K143" s="3">
        <f>Tbl_Datos[[#This Row],[Unidades]]*Tbl_Datos[[#This Row],[Precio Unitario]]</f>
        <v>120000</v>
      </c>
      <c r="L143" s="3" cm="1">
        <f t="array" ref="L143">_xlfn.IFS(F143="Camas",J143*68%,F143="Comederos",J143*60%,F143="Higiene",J143*55%,F143="Juguetes",J143*62%,F143="Transporte",J143*72%)</f>
        <v>1860</v>
      </c>
      <c r="M143" s="3">
        <f t="shared" si="6"/>
        <v>74400</v>
      </c>
      <c r="N143" s="3">
        <f t="shared" si="7"/>
        <v>45600</v>
      </c>
      <c r="O143" s="16">
        <f t="shared" si="8"/>
        <v>0.38</v>
      </c>
    </row>
    <row r="144" spans="1:15" x14ac:dyDescent="0.25">
      <c r="A144" s="1" t="s">
        <v>188</v>
      </c>
      <c r="B144" s="5">
        <v>46259</v>
      </c>
      <c r="C144" s="1" t="s">
        <v>8</v>
      </c>
      <c r="D144" s="1" t="s">
        <v>27</v>
      </c>
      <c r="E144" s="1" t="s">
        <v>53</v>
      </c>
      <c r="F144" s="1" t="s">
        <v>22</v>
      </c>
      <c r="G144" s="1" t="s">
        <v>40</v>
      </c>
      <c r="H144" s="1" t="s">
        <v>6</v>
      </c>
      <c r="I144" s="1">
        <v>45</v>
      </c>
      <c r="J144" s="3">
        <v>30300</v>
      </c>
      <c r="K144" s="3">
        <f>Tbl_Datos[[#This Row],[Unidades]]*Tbl_Datos[[#This Row],[Precio Unitario]]</f>
        <v>1363500</v>
      </c>
      <c r="L144" s="3" cm="1">
        <f t="array" ref="L144">_xlfn.IFS(F144="Camas",J144*68%,F144="Comederos",J144*60%,F144="Higiene",J144*55%,F144="Juguetes",J144*62%,F144="Transporte",J144*72%)</f>
        <v>21816</v>
      </c>
      <c r="M144" s="3">
        <f t="shared" si="6"/>
        <v>981720</v>
      </c>
      <c r="N144" s="3">
        <f t="shared" si="7"/>
        <v>381780</v>
      </c>
      <c r="O144" s="16">
        <f t="shared" si="8"/>
        <v>0.28000000000000003</v>
      </c>
    </row>
    <row r="145" spans="1:15" x14ac:dyDescent="0.25">
      <c r="A145" s="1" t="s">
        <v>189</v>
      </c>
      <c r="B145" s="5">
        <v>46152</v>
      </c>
      <c r="C145" s="1" t="s">
        <v>14</v>
      </c>
      <c r="D145" s="1" t="s">
        <v>33</v>
      </c>
      <c r="E145" s="1" t="s">
        <v>16</v>
      </c>
      <c r="F145" s="1" t="s">
        <v>11</v>
      </c>
      <c r="G145" s="1" t="s">
        <v>144</v>
      </c>
      <c r="H145" s="1" t="s">
        <v>24</v>
      </c>
      <c r="I145" s="1">
        <v>52</v>
      </c>
      <c r="J145" s="3">
        <v>23500</v>
      </c>
      <c r="K145" s="3">
        <f>Tbl_Datos[[#This Row],[Unidades]]*Tbl_Datos[[#This Row],[Precio Unitario]]</f>
        <v>1222000</v>
      </c>
      <c r="L145" s="3" cm="1">
        <f t="array" ref="L145">_xlfn.IFS(F145="Camas",J145*68%,F145="Comederos",J145*60%,F145="Higiene",J145*55%,F145="Juguetes",J145*62%,F145="Transporte",J145*72%)</f>
        <v>15980.000000000002</v>
      </c>
      <c r="M145" s="3">
        <f t="shared" si="6"/>
        <v>830960.00000000012</v>
      </c>
      <c r="N145" s="3">
        <f t="shared" si="7"/>
        <v>391039.99999999988</v>
      </c>
      <c r="O145" s="16">
        <f t="shared" si="8"/>
        <v>0.3199999999999999</v>
      </c>
    </row>
    <row r="146" spans="1:15" x14ac:dyDescent="0.25">
      <c r="A146" s="1" t="s">
        <v>190</v>
      </c>
      <c r="B146" s="5">
        <v>46167</v>
      </c>
      <c r="C146" s="1" t="s">
        <v>14</v>
      </c>
      <c r="D146" s="1" t="s">
        <v>15</v>
      </c>
      <c r="E146" s="1" t="s">
        <v>3</v>
      </c>
      <c r="F146" s="1" t="s">
        <v>42</v>
      </c>
      <c r="G146" s="1" t="s">
        <v>49</v>
      </c>
      <c r="H146" s="1" t="s">
        <v>6</v>
      </c>
      <c r="I146" s="1">
        <v>11</v>
      </c>
      <c r="J146" s="3">
        <v>3300</v>
      </c>
      <c r="K146" s="3">
        <f>Tbl_Datos[[#This Row],[Unidades]]*Tbl_Datos[[#This Row],[Precio Unitario]]</f>
        <v>36300</v>
      </c>
      <c r="L146" s="3" cm="1">
        <f t="array" ref="L146">_xlfn.IFS(F146="Camas",J146*68%,F146="Comederos",J146*60%,F146="Higiene",J146*55%,F146="Juguetes",J146*62%,F146="Transporte",J146*72%)</f>
        <v>1815.0000000000002</v>
      </c>
      <c r="M146" s="3">
        <f t="shared" si="6"/>
        <v>19965.000000000004</v>
      </c>
      <c r="N146" s="3">
        <f t="shared" si="7"/>
        <v>16334.999999999996</v>
      </c>
      <c r="O146" s="16">
        <f t="shared" si="8"/>
        <v>0.4499999999999999</v>
      </c>
    </row>
    <row r="147" spans="1:15" x14ac:dyDescent="0.25">
      <c r="A147" s="1" t="s">
        <v>191</v>
      </c>
      <c r="B147" s="5">
        <v>46185</v>
      </c>
      <c r="C147" s="1" t="s">
        <v>45</v>
      </c>
      <c r="D147" s="1" t="s">
        <v>27</v>
      </c>
      <c r="E147" s="1" t="s">
        <v>53</v>
      </c>
      <c r="F147" s="1" t="s">
        <v>11</v>
      </c>
      <c r="G147" s="1" t="s">
        <v>28</v>
      </c>
      <c r="H147" s="1" t="s">
        <v>6</v>
      </c>
      <c r="I147" s="1">
        <v>37</v>
      </c>
      <c r="J147" s="3">
        <v>15200</v>
      </c>
      <c r="K147" s="3">
        <f>Tbl_Datos[[#This Row],[Unidades]]*Tbl_Datos[[#This Row],[Precio Unitario]]</f>
        <v>562400</v>
      </c>
      <c r="L147" s="3" cm="1">
        <f t="array" ref="L147">_xlfn.IFS(F147="Camas",J147*68%,F147="Comederos",J147*60%,F147="Higiene",J147*55%,F147="Juguetes",J147*62%,F147="Transporte",J147*72%)</f>
        <v>10336</v>
      </c>
      <c r="M147" s="3">
        <f t="shared" si="6"/>
        <v>382432</v>
      </c>
      <c r="N147" s="3">
        <f t="shared" si="7"/>
        <v>179968</v>
      </c>
      <c r="O147" s="16">
        <f t="shared" si="8"/>
        <v>0.32</v>
      </c>
    </row>
    <row r="148" spans="1:15" x14ac:dyDescent="0.25">
      <c r="A148" s="1" t="s">
        <v>192</v>
      </c>
      <c r="B148" s="5">
        <v>46060</v>
      </c>
      <c r="C148" s="1" t="s">
        <v>1</v>
      </c>
      <c r="D148" s="1" t="s">
        <v>9</v>
      </c>
      <c r="E148" s="1" t="s">
        <v>16</v>
      </c>
      <c r="F148" s="1" t="s">
        <v>17</v>
      </c>
      <c r="G148" s="1" t="s">
        <v>68</v>
      </c>
      <c r="H148" s="1" t="s">
        <v>6</v>
      </c>
      <c r="I148" s="1">
        <v>38</v>
      </c>
      <c r="J148" s="3">
        <v>5300</v>
      </c>
      <c r="K148" s="3">
        <f>Tbl_Datos[[#This Row],[Unidades]]*Tbl_Datos[[#This Row],[Precio Unitario]]</f>
        <v>201400</v>
      </c>
      <c r="L148" s="3" cm="1">
        <f t="array" ref="L148">_xlfn.IFS(F148="Camas",J148*68%,F148="Comederos",J148*60%,F148="Higiene",J148*55%,F148="Juguetes",J148*62%,F148="Transporte",J148*72%)</f>
        <v>3286</v>
      </c>
      <c r="M148" s="3">
        <f t="shared" si="6"/>
        <v>124868</v>
      </c>
      <c r="N148" s="3">
        <f t="shared" si="7"/>
        <v>76532</v>
      </c>
      <c r="O148" s="16">
        <f t="shared" si="8"/>
        <v>0.38</v>
      </c>
    </row>
    <row r="149" spans="1:15" x14ac:dyDescent="0.25">
      <c r="A149" s="1" t="s">
        <v>193</v>
      </c>
      <c r="B149" s="5">
        <v>46060</v>
      </c>
      <c r="C149" s="1" t="s">
        <v>1</v>
      </c>
      <c r="D149" s="1" t="s">
        <v>15</v>
      </c>
      <c r="E149" s="1" t="s">
        <v>3</v>
      </c>
      <c r="F149" s="1" t="s">
        <v>22</v>
      </c>
      <c r="G149" s="1" t="s">
        <v>40</v>
      </c>
      <c r="H149" s="1" t="s">
        <v>6</v>
      </c>
      <c r="I149" s="1">
        <v>50</v>
      </c>
      <c r="J149" s="3">
        <v>30300</v>
      </c>
      <c r="K149" s="3">
        <f>Tbl_Datos[[#This Row],[Unidades]]*Tbl_Datos[[#This Row],[Precio Unitario]]</f>
        <v>1515000</v>
      </c>
      <c r="L149" s="3" cm="1">
        <f t="array" ref="L149">_xlfn.IFS(F149="Camas",J149*68%,F149="Comederos",J149*60%,F149="Higiene",J149*55%,F149="Juguetes",J149*62%,F149="Transporte",J149*72%)</f>
        <v>21816</v>
      </c>
      <c r="M149" s="3">
        <f t="shared" si="6"/>
        <v>1090800</v>
      </c>
      <c r="N149" s="3">
        <f t="shared" si="7"/>
        <v>424200</v>
      </c>
      <c r="O149" s="16">
        <f t="shared" si="8"/>
        <v>0.28000000000000003</v>
      </c>
    </row>
    <row r="150" spans="1:15" x14ac:dyDescent="0.25">
      <c r="A150" s="1" t="s">
        <v>194</v>
      </c>
      <c r="B150" s="5">
        <v>46152</v>
      </c>
      <c r="C150" s="1" t="s">
        <v>14</v>
      </c>
      <c r="D150" s="1" t="s">
        <v>15</v>
      </c>
      <c r="E150" s="1" t="s">
        <v>53</v>
      </c>
      <c r="F150" s="1" t="s">
        <v>17</v>
      </c>
      <c r="G150" s="1" t="s">
        <v>58</v>
      </c>
      <c r="H150" s="1" t="s">
        <v>19</v>
      </c>
      <c r="I150" s="1">
        <v>41</v>
      </c>
      <c r="J150" s="3">
        <v>4500</v>
      </c>
      <c r="K150" s="3">
        <f>Tbl_Datos[[#This Row],[Unidades]]*Tbl_Datos[[#This Row],[Precio Unitario]]</f>
        <v>184500</v>
      </c>
      <c r="L150" s="3" cm="1">
        <f t="array" ref="L150">_xlfn.IFS(F150="Camas",J150*68%,F150="Comederos",J150*60%,F150="Higiene",J150*55%,F150="Juguetes",J150*62%,F150="Transporte",J150*72%)</f>
        <v>2790</v>
      </c>
      <c r="M150" s="3">
        <f t="shared" si="6"/>
        <v>114390</v>
      </c>
      <c r="N150" s="3">
        <f t="shared" si="7"/>
        <v>70110</v>
      </c>
      <c r="O150" s="16">
        <f t="shared" si="8"/>
        <v>0.38</v>
      </c>
    </row>
    <row r="151" spans="1:15" x14ac:dyDescent="0.25">
      <c r="A151" s="1" t="s">
        <v>195</v>
      </c>
      <c r="B151" s="5">
        <v>46124</v>
      </c>
      <c r="C151" s="1" t="s">
        <v>47</v>
      </c>
      <c r="D151" s="1" t="s">
        <v>27</v>
      </c>
      <c r="E151" s="1" t="s">
        <v>16</v>
      </c>
      <c r="F151" s="1" t="s">
        <v>42</v>
      </c>
      <c r="G151" s="1" t="s">
        <v>125</v>
      </c>
      <c r="H151" s="1" t="s">
        <v>6</v>
      </c>
      <c r="I151" s="1">
        <v>14</v>
      </c>
      <c r="J151" s="3">
        <v>7700</v>
      </c>
      <c r="K151" s="3">
        <f>Tbl_Datos[[#This Row],[Unidades]]*Tbl_Datos[[#This Row],[Precio Unitario]]</f>
        <v>107800</v>
      </c>
      <c r="L151" s="3" cm="1">
        <f t="array" ref="L151">_xlfn.IFS(F151="Camas",J151*68%,F151="Comederos",J151*60%,F151="Higiene",J151*55%,F151="Juguetes",J151*62%,F151="Transporte",J151*72%)</f>
        <v>4235</v>
      </c>
      <c r="M151" s="3">
        <f t="shared" si="6"/>
        <v>59290</v>
      </c>
      <c r="N151" s="3">
        <f t="shared" si="7"/>
        <v>48510</v>
      </c>
      <c r="O151" s="16">
        <f t="shared" si="8"/>
        <v>0.45</v>
      </c>
    </row>
    <row r="152" spans="1:15" x14ac:dyDescent="0.25">
      <c r="A152" s="1" t="s">
        <v>196</v>
      </c>
      <c r="B152" s="5">
        <v>46042</v>
      </c>
      <c r="C152" s="1" t="s">
        <v>32</v>
      </c>
      <c r="D152" s="1" t="s">
        <v>27</v>
      </c>
      <c r="E152" s="1" t="s">
        <v>3</v>
      </c>
      <c r="F152" s="1" t="s">
        <v>22</v>
      </c>
      <c r="G152" s="1" t="s">
        <v>40</v>
      </c>
      <c r="H152" s="1" t="s">
        <v>24</v>
      </c>
      <c r="I152" s="1">
        <v>55</v>
      </c>
      <c r="J152" s="3">
        <v>30300</v>
      </c>
      <c r="K152" s="3">
        <f>Tbl_Datos[[#This Row],[Unidades]]*Tbl_Datos[[#This Row],[Precio Unitario]]</f>
        <v>1666500</v>
      </c>
      <c r="L152" s="3" cm="1">
        <f t="array" ref="L152">_xlfn.IFS(F152="Camas",J152*68%,F152="Comederos",J152*60%,F152="Higiene",J152*55%,F152="Juguetes",J152*62%,F152="Transporte",J152*72%)</f>
        <v>21816</v>
      </c>
      <c r="M152" s="3">
        <f t="shared" si="6"/>
        <v>1199880</v>
      </c>
      <c r="N152" s="3">
        <f t="shared" si="7"/>
        <v>466620</v>
      </c>
      <c r="O152" s="16">
        <f t="shared" si="8"/>
        <v>0.28000000000000003</v>
      </c>
    </row>
    <row r="153" spans="1:15" x14ac:dyDescent="0.25">
      <c r="A153" s="1" t="s">
        <v>197</v>
      </c>
      <c r="B153" s="5">
        <v>46258</v>
      </c>
      <c r="C153" s="1" t="s">
        <v>8</v>
      </c>
      <c r="D153" s="1" t="s">
        <v>27</v>
      </c>
      <c r="E153" s="1" t="s">
        <v>3</v>
      </c>
      <c r="F153" s="1" t="s">
        <v>11</v>
      </c>
      <c r="G153" s="1" t="s">
        <v>144</v>
      </c>
      <c r="H153" s="1" t="s">
        <v>19</v>
      </c>
      <c r="I153" s="1">
        <v>42</v>
      </c>
      <c r="J153" s="3">
        <v>24200</v>
      </c>
      <c r="K153" s="3">
        <f>Tbl_Datos[[#This Row],[Unidades]]*Tbl_Datos[[#This Row],[Precio Unitario]]</f>
        <v>1016400</v>
      </c>
      <c r="L153" s="3" cm="1">
        <f t="array" ref="L153">_xlfn.IFS(F153="Camas",J153*68%,F153="Comederos",J153*60%,F153="Higiene",J153*55%,F153="Juguetes",J153*62%,F153="Transporte",J153*72%)</f>
        <v>16456</v>
      </c>
      <c r="M153" s="3">
        <f t="shared" si="6"/>
        <v>691152</v>
      </c>
      <c r="N153" s="3">
        <f t="shared" si="7"/>
        <v>325248</v>
      </c>
      <c r="O153" s="16">
        <f t="shared" si="8"/>
        <v>0.32</v>
      </c>
    </row>
    <row r="154" spans="1:15" x14ac:dyDescent="0.25">
      <c r="A154" s="1" t="s">
        <v>198</v>
      </c>
      <c r="B154" s="5">
        <v>46174</v>
      </c>
      <c r="C154" s="1" t="s">
        <v>45</v>
      </c>
      <c r="D154" s="1" t="s">
        <v>9</v>
      </c>
      <c r="E154" s="1" t="s">
        <v>3</v>
      </c>
      <c r="F154" s="1" t="s">
        <v>11</v>
      </c>
      <c r="G154" s="1" t="s">
        <v>144</v>
      </c>
      <c r="H154" s="1" t="s">
        <v>19</v>
      </c>
      <c r="I154" s="1">
        <v>50</v>
      </c>
      <c r="J154" s="3">
        <v>22900</v>
      </c>
      <c r="K154" s="3">
        <f>Tbl_Datos[[#This Row],[Unidades]]*Tbl_Datos[[#This Row],[Precio Unitario]]</f>
        <v>1145000</v>
      </c>
      <c r="L154" s="3" cm="1">
        <f t="array" ref="L154">_xlfn.IFS(F154="Camas",J154*68%,F154="Comederos",J154*60%,F154="Higiene",J154*55%,F154="Juguetes",J154*62%,F154="Transporte",J154*72%)</f>
        <v>15572.000000000002</v>
      </c>
      <c r="M154" s="3">
        <f t="shared" si="6"/>
        <v>778600.00000000012</v>
      </c>
      <c r="N154" s="3">
        <f t="shared" si="7"/>
        <v>366399.99999999988</v>
      </c>
      <c r="O154" s="16">
        <f t="shared" si="8"/>
        <v>0.3199999999999999</v>
      </c>
    </row>
    <row r="155" spans="1:15" x14ac:dyDescent="0.25">
      <c r="A155" s="1" t="s">
        <v>199</v>
      </c>
      <c r="B155" s="5">
        <v>46203</v>
      </c>
      <c r="C155" s="1" t="s">
        <v>45</v>
      </c>
      <c r="D155" s="1" t="s">
        <v>15</v>
      </c>
      <c r="E155" s="1" t="s">
        <v>10</v>
      </c>
      <c r="F155" s="1" t="s">
        <v>22</v>
      </c>
      <c r="G155" s="1" t="s">
        <v>55</v>
      </c>
      <c r="H155" s="1" t="s">
        <v>19</v>
      </c>
      <c r="I155" s="1">
        <v>41</v>
      </c>
      <c r="J155" s="3">
        <v>38100</v>
      </c>
      <c r="K155" s="3">
        <f>Tbl_Datos[[#This Row],[Unidades]]*Tbl_Datos[[#This Row],[Precio Unitario]]</f>
        <v>1562100</v>
      </c>
      <c r="L155" s="3" cm="1">
        <f t="array" ref="L155">_xlfn.IFS(F155="Camas",J155*68%,F155="Comederos",J155*60%,F155="Higiene",J155*55%,F155="Juguetes",J155*62%,F155="Transporte",J155*72%)</f>
        <v>27432</v>
      </c>
      <c r="M155" s="3">
        <f t="shared" si="6"/>
        <v>1124712</v>
      </c>
      <c r="N155" s="3">
        <f t="shared" si="7"/>
        <v>437388</v>
      </c>
      <c r="O155" s="16">
        <f t="shared" si="8"/>
        <v>0.28000000000000003</v>
      </c>
    </row>
    <row r="156" spans="1:15" x14ac:dyDescent="0.25">
      <c r="A156" s="1" t="s">
        <v>200</v>
      </c>
      <c r="B156" s="5">
        <v>46166</v>
      </c>
      <c r="C156" s="1" t="s">
        <v>14</v>
      </c>
      <c r="D156" s="1" t="s">
        <v>2</v>
      </c>
      <c r="E156" s="1" t="s">
        <v>10</v>
      </c>
      <c r="F156" s="1" t="s">
        <v>11</v>
      </c>
      <c r="G156" s="1" t="s">
        <v>28</v>
      </c>
      <c r="H156" s="1" t="s">
        <v>6</v>
      </c>
      <c r="I156" s="1">
        <v>20</v>
      </c>
      <c r="J156" s="3">
        <v>15500</v>
      </c>
      <c r="K156" s="3">
        <f>Tbl_Datos[[#This Row],[Unidades]]*Tbl_Datos[[#This Row],[Precio Unitario]]</f>
        <v>310000</v>
      </c>
      <c r="L156" s="3" cm="1">
        <f t="array" ref="L156">_xlfn.IFS(F156="Camas",J156*68%,F156="Comederos",J156*60%,F156="Higiene",J156*55%,F156="Juguetes",J156*62%,F156="Transporte",J156*72%)</f>
        <v>10540</v>
      </c>
      <c r="M156" s="3">
        <f t="shared" si="6"/>
        <v>210800</v>
      </c>
      <c r="N156" s="3">
        <f t="shared" si="7"/>
        <v>99200</v>
      </c>
      <c r="O156" s="16">
        <f t="shared" si="8"/>
        <v>0.32</v>
      </c>
    </row>
    <row r="157" spans="1:15" x14ac:dyDescent="0.25">
      <c r="A157" s="1" t="s">
        <v>201</v>
      </c>
      <c r="B157" s="5">
        <v>46089</v>
      </c>
      <c r="C157" s="1" t="s">
        <v>26</v>
      </c>
      <c r="D157" s="1" t="s">
        <v>15</v>
      </c>
      <c r="E157" s="1" t="s">
        <v>16</v>
      </c>
      <c r="F157" s="1" t="s">
        <v>17</v>
      </c>
      <c r="G157" s="1" t="s">
        <v>18</v>
      </c>
      <c r="H157" s="1" t="s">
        <v>19</v>
      </c>
      <c r="I157" s="1">
        <v>28</v>
      </c>
      <c r="J157" s="3">
        <v>2800</v>
      </c>
      <c r="K157" s="3">
        <f>Tbl_Datos[[#This Row],[Unidades]]*Tbl_Datos[[#This Row],[Precio Unitario]]</f>
        <v>78400</v>
      </c>
      <c r="L157" s="3" cm="1">
        <f t="array" ref="L157">_xlfn.IFS(F157="Camas",J157*68%,F157="Comederos",J157*60%,F157="Higiene",J157*55%,F157="Juguetes",J157*62%,F157="Transporte",J157*72%)</f>
        <v>1736</v>
      </c>
      <c r="M157" s="3">
        <f t="shared" si="6"/>
        <v>48608</v>
      </c>
      <c r="N157" s="3">
        <f t="shared" si="7"/>
        <v>29792</v>
      </c>
      <c r="O157" s="16">
        <f t="shared" si="8"/>
        <v>0.38</v>
      </c>
    </row>
    <row r="158" spans="1:15" x14ac:dyDescent="0.25">
      <c r="A158" s="1" t="s">
        <v>202</v>
      </c>
      <c r="B158" s="5">
        <v>46038</v>
      </c>
      <c r="C158" s="1" t="s">
        <v>32</v>
      </c>
      <c r="D158" s="1" t="s">
        <v>2</v>
      </c>
      <c r="E158" s="1" t="s">
        <v>3</v>
      </c>
      <c r="F158" s="1" t="s">
        <v>11</v>
      </c>
      <c r="G158" s="1" t="s">
        <v>30</v>
      </c>
      <c r="H158" s="1" t="s">
        <v>6</v>
      </c>
      <c r="I158" s="1">
        <v>37</v>
      </c>
      <c r="J158" s="3">
        <v>27800</v>
      </c>
      <c r="K158" s="3">
        <f>Tbl_Datos[[#This Row],[Unidades]]*Tbl_Datos[[#This Row],[Precio Unitario]]</f>
        <v>1028600</v>
      </c>
      <c r="L158" s="3" cm="1">
        <f t="array" ref="L158">_xlfn.IFS(F158="Camas",J158*68%,F158="Comederos",J158*60%,F158="Higiene",J158*55%,F158="Juguetes",J158*62%,F158="Transporte",J158*72%)</f>
        <v>18904</v>
      </c>
      <c r="M158" s="3">
        <f t="shared" si="6"/>
        <v>699448</v>
      </c>
      <c r="N158" s="3">
        <f t="shared" si="7"/>
        <v>329152</v>
      </c>
      <c r="O158" s="16">
        <f t="shared" si="8"/>
        <v>0.32</v>
      </c>
    </row>
    <row r="159" spans="1:15" x14ac:dyDescent="0.25">
      <c r="A159" s="1" t="s">
        <v>203</v>
      </c>
      <c r="B159" s="5">
        <v>46047</v>
      </c>
      <c r="C159" s="1" t="s">
        <v>32</v>
      </c>
      <c r="D159" s="1" t="s">
        <v>9</v>
      </c>
      <c r="E159" s="1" t="s">
        <v>16</v>
      </c>
      <c r="F159" s="1" t="s">
        <v>42</v>
      </c>
      <c r="G159" s="1" t="s">
        <v>49</v>
      </c>
      <c r="H159" s="1" t="s">
        <v>6</v>
      </c>
      <c r="I159" s="1">
        <v>36</v>
      </c>
      <c r="J159" s="3">
        <v>3600</v>
      </c>
      <c r="K159" s="3">
        <f>Tbl_Datos[[#This Row],[Unidades]]*Tbl_Datos[[#This Row],[Precio Unitario]]</f>
        <v>129600</v>
      </c>
      <c r="L159" s="3" cm="1">
        <f t="array" ref="L159">_xlfn.IFS(F159="Camas",J159*68%,F159="Comederos",J159*60%,F159="Higiene",J159*55%,F159="Juguetes",J159*62%,F159="Transporte",J159*72%)</f>
        <v>1980.0000000000002</v>
      </c>
      <c r="M159" s="3">
        <f t="shared" si="6"/>
        <v>71280.000000000015</v>
      </c>
      <c r="N159" s="3">
        <f t="shared" si="7"/>
        <v>58319.999999999985</v>
      </c>
      <c r="O159" s="16">
        <f t="shared" si="8"/>
        <v>0.4499999999999999</v>
      </c>
    </row>
    <row r="160" spans="1:15" x14ac:dyDescent="0.25">
      <c r="A160" s="1" t="s">
        <v>204</v>
      </c>
      <c r="B160" s="5">
        <v>46148</v>
      </c>
      <c r="C160" s="1" t="s">
        <v>14</v>
      </c>
      <c r="D160" s="1" t="s">
        <v>33</v>
      </c>
      <c r="E160" s="1" t="s">
        <v>16</v>
      </c>
      <c r="F160" s="1" t="s">
        <v>11</v>
      </c>
      <c r="G160" s="1" t="s">
        <v>28</v>
      </c>
      <c r="H160" s="1" t="s">
        <v>19</v>
      </c>
      <c r="I160" s="1">
        <v>39</v>
      </c>
      <c r="J160" s="3">
        <v>14300</v>
      </c>
      <c r="K160" s="3">
        <f>Tbl_Datos[[#This Row],[Unidades]]*Tbl_Datos[[#This Row],[Precio Unitario]]</f>
        <v>557700</v>
      </c>
      <c r="L160" s="3" cm="1">
        <f t="array" ref="L160">_xlfn.IFS(F160="Camas",J160*68%,F160="Comederos",J160*60%,F160="Higiene",J160*55%,F160="Juguetes",J160*62%,F160="Transporte",J160*72%)</f>
        <v>9724</v>
      </c>
      <c r="M160" s="3">
        <f t="shared" si="6"/>
        <v>379236</v>
      </c>
      <c r="N160" s="3">
        <f t="shared" si="7"/>
        <v>178464</v>
      </c>
      <c r="O160" s="16">
        <f t="shared" si="8"/>
        <v>0.32</v>
      </c>
    </row>
    <row r="161" spans="1:15" x14ac:dyDescent="0.25">
      <c r="A161" s="1" t="s">
        <v>205</v>
      </c>
      <c r="B161" s="5">
        <v>46036</v>
      </c>
      <c r="C161" s="1" t="s">
        <v>32</v>
      </c>
      <c r="D161" s="1" t="s">
        <v>9</v>
      </c>
      <c r="E161" s="1" t="s">
        <v>3</v>
      </c>
      <c r="F161" s="1" t="s">
        <v>4</v>
      </c>
      <c r="G161" s="1" t="s">
        <v>5</v>
      </c>
      <c r="H161" s="1" t="s">
        <v>6</v>
      </c>
      <c r="I161" s="1">
        <v>28</v>
      </c>
      <c r="J161" s="3">
        <v>6100</v>
      </c>
      <c r="K161" s="3">
        <f>Tbl_Datos[[#This Row],[Unidades]]*Tbl_Datos[[#This Row],[Precio Unitario]]</f>
        <v>170800</v>
      </c>
      <c r="L161" s="3" cm="1">
        <f t="array" ref="L161">_xlfn.IFS(F161="Camas",J161*68%,F161="Comederos",J161*60%,F161="Higiene",J161*55%,F161="Juguetes",J161*62%,F161="Transporte",J161*72%)</f>
        <v>3660</v>
      </c>
      <c r="M161" s="3">
        <f t="shared" si="6"/>
        <v>102480</v>
      </c>
      <c r="N161" s="3">
        <f t="shared" si="7"/>
        <v>68320</v>
      </c>
      <c r="O161" s="16">
        <f t="shared" si="8"/>
        <v>0.4</v>
      </c>
    </row>
    <row r="162" spans="1:15" x14ac:dyDescent="0.25">
      <c r="A162" s="1" t="s">
        <v>206</v>
      </c>
      <c r="B162" s="5">
        <v>46169</v>
      </c>
      <c r="C162" s="1" t="s">
        <v>14</v>
      </c>
      <c r="D162" s="1" t="s">
        <v>2</v>
      </c>
      <c r="E162" s="1" t="s">
        <v>36</v>
      </c>
      <c r="F162" s="1" t="s">
        <v>4</v>
      </c>
      <c r="G162" s="1" t="s">
        <v>38</v>
      </c>
      <c r="H162" s="1" t="s">
        <v>24</v>
      </c>
      <c r="I162" s="1">
        <v>34</v>
      </c>
      <c r="J162" s="3">
        <v>8500</v>
      </c>
      <c r="K162" s="3">
        <f>Tbl_Datos[[#This Row],[Unidades]]*Tbl_Datos[[#This Row],[Precio Unitario]]</f>
        <v>289000</v>
      </c>
      <c r="L162" s="3" cm="1">
        <f t="array" ref="L162">_xlfn.IFS(F162="Camas",J162*68%,F162="Comederos",J162*60%,F162="Higiene",J162*55%,F162="Juguetes",J162*62%,F162="Transporte",J162*72%)</f>
        <v>5100</v>
      </c>
      <c r="M162" s="3">
        <f t="shared" si="6"/>
        <v>173400</v>
      </c>
      <c r="N162" s="3">
        <f t="shared" si="7"/>
        <v>115600</v>
      </c>
      <c r="O162" s="16">
        <f t="shared" si="8"/>
        <v>0.4</v>
      </c>
    </row>
    <row r="163" spans="1:15" x14ac:dyDescent="0.25">
      <c r="A163" s="1" t="s">
        <v>207</v>
      </c>
      <c r="B163" s="5">
        <v>46191</v>
      </c>
      <c r="C163" s="1" t="s">
        <v>45</v>
      </c>
      <c r="D163" s="1" t="s">
        <v>15</v>
      </c>
      <c r="E163" s="1" t="s">
        <v>16</v>
      </c>
      <c r="F163" s="1" t="s">
        <v>11</v>
      </c>
      <c r="G163" s="1" t="s">
        <v>30</v>
      </c>
      <c r="H163" s="1" t="s">
        <v>19</v>
      </c>
      <c r="I163" s="1">
        <v>53</v>
      </c>
      <c r="J163" s="3">
        <v>26400</v>
      </c>
      <c r="K163" s="3">
        <f>Tbl_Datos[[#This Row],[Unidades]]*Tbl_Datos[[#This Row],[Precio Unitario]]</f>
        <v>1399200</v>
      </c>
      <c r="L163" s="3" cm="1">
        <f t="array" ref="L163">_xlfn.IFS(F163="Camas",J163*68%,F163="Comederos",J163*60%,F163="Higiene",J163*55%,F163="Juguetes",J163*62%,F163="Transporte",J163*72%)</f>
        <v>17952</v>
      </c>
      <c r="M163" s="3">
        <f t="shared" si="6"/>
        <v>951456</v>
      </c>
      <c r="N163" s="3">
        <f t="shared" si="7"/>
        <v>447744</v>
      </c>
      <c r="O163" s="16">
        <f t="shared" si="8"/>
        <v>0.32</v>
      </c>
    </row>
    <row r="164" spans="1:15" x14ac:dyDescent="0.25">
      <c r="A164" s="1" t="s">
        <v>208</v>
      </c>
      <c r="B164" s="5">
        <v>46255</v>
      </c>
      <c r="C164" s="1" t="s">
        <v>8</v>
      </c>
      <c r="D164" s="1" t="s">
        <v>33</v>
      </c>
      <c r="E164" s="1" t="s">
        <v>3</v>
      </c>
      <c r="F164" s="1" t="s">
        <v>11</v>
      </c>
      <c r="G164" s="1" t="s">
        <v>28</v>
      </c>
      <c r="H164" s="1" t="s">
        <v>6</v>
      </c>
      <c r="I164" s="1">
        <v>27</v>
      </c>
      <c r="J164" s="3">
        <v>15600</v>
      </c>
      <c r="K164" s="3">
        <f>Tbl_Datos[[#This Row],[Unidades]]*Tbl_Datos[[#This Row],[Precio Unitario]]</f>
        <v>421200</v>
      </c>
      <c r="L164" s="3" cm="1">
        <f t="array" ref="L164">_xlfn.IFS(F164="Camas",J164*68%,F164="Comederos",J164*60%,F164="Higiene",J164*55%,F164="Juguetes",J164*62%,F164="Transporte",J164*72%)</f>
        <v>10608</v>
      </c>
      <c r="M164" s="3">
        <f t="shared" si="6"/>
        <v>286416</v>
      </c>
      <c r="N164" s="3">
        <f t="shared" si="7"/>
        <v>134784</v>
      </c>
      <c r="O164" s="16">
        <f t="shared" si="8"/>
        <v>0.32</v>
      </c>
    </row>
    <row r="165" spans="1:15" x14ac:dyDescent="0.25">
      <c r="A165" s="1" t="s">
        <v>209</v>
      </c>
      <c r="B165" s="5">
        <v>46114</v>
      </c>
      <c r="C165" s="1" t="s">
        <v>47</v>
      </c>
      <c r="D165" s="1" t="s">
        <v>15</v>
      </c>
      <c r="E165" s="1" t="s">
        <v>3</v>
      </c>
      <c r="F165" s="1" t="s">
        <v>4</v>
      </c>
      <c r="G165" s="1" t="s">
        <v>5</v>
      </c>
      <c r="H165" s="1" t="s">
        <v>19</v>
      </c>
      <c r="I165" s="1">
        <v>19</v>
      </c>
      <c r="J165" s="3">
        <v>6200</v>
      </c>
      <c r="K165" s="3">
        <f>Tbl_Datos[[#This Row],[Unidades]]*Tbl_Datos[[#This Row],[Precio Unitario]]</f>
        <v>117800</v>
      </c>
      <c r="L165" s="3" cm="1">
        <f t="array" ref="L165">_xlfn.IFS(F165="Camas",J165*68%,F165="Comederos",J165*60%,F165="Higiene",J165*55%,F165="Juguetes",J165*62%,F165="Transporte",J165*72%)</f>
        <v>3720</v>
      </c>
      <c r="M165" s="3">
        <f t="shared" si="6"/>
        <v>70680</v>
      </c>
      <c r="N165" s="3">
        <f t="shared" si="7"/>
        <v>47120</v>
      </c>
      <c r="O165" s="16">
        <f t="shared" si="8"/>
        <v>0.4</v>
      </c>
    </row>
    <row r="166" spans="1:15" x14ac:dyDescent="0.25">
      <c r="A166" s="1" t="s">
        <v>210</v>
      </c>
      <c r="B166" s="5">
        <v>46217</v>
      </c>
      <c r="C166" s="1" t="s">
        <v>52</v>
      </c>
      <c r="D166" s="1" t="s">
        <v>33</v>
      </c>
      <c r="E166" s="1" t="s">
        <v>3</v>
      </c>
      <c r="F166" s="1" t="s">
        <v>42</v>
      </c>
      <c r="G166" s="1" t="s">
        <v>43</v>
      </c>
      <c r="H166" s="1" t="s">
        <v>24</v>
      </c>
      <c r="I166" s="1">
        <v>55</v>
      </c>
      <c r="J166" s="3">
        <v>13800</v>
      </c>
      <c r="K166" s="3">
        <f>Tbl_Datos[[#This Row],[Unidades]]*Tbl_Datos[[#This Row],[Precio Unitario]]</f>
        <v>759000</v>
      </c>
      <c r="L166" s="3" cm="1">
        <f t="array" ref="L166">_xlfn.IFS(F166="Camas",J166*68%,F166="Comederos",J166*60%,F166="Higiene",J166*55%,F166="Juguetes",J166*62%,F166="Transporte",J166*72%)</f>
        <v>7590.0000000000009</v>
      </c>
      <c r="M166" s="3">
        <f t="shared" si="6"/>
        <v>417450.00000000006</v>
      </c>
      <c r="N166" s="3">
        <f t="shared" si="7"/>
        <v>341549.99999999994</v>
      </c>
      <c r="O166" s="16">
        <f t="shared" si="8"/>
        <v>0.4499999999999999</v>
      </c>
    </row>
    <row r="167" spans="1:15" x14ac:dyDescent="0.25">
      <c r="A167" s="1" t="s">
        <v>211</v>
      </c>
      <c r="B167" s="5">
        <v>46160</v>
      </c>
      <c r="C167" s="1" t="s">
        <v>14</v>
      </c>
      <c r="D167" s="1" t="s">
        <v>15</v>
      </c>
      <c r="E167" s="1" t="s">
        <v>53</v>
      </c>
      <c r="F167" s="1" t="s">
        <v>11</v>
      </c>
      <c r="G167" s="1" t="s">
        <v>144</v>
      </c>
      <c r="H167" s="1" t="s">
        <v>19</v>
      </c>
      <c r="I167" s="1">
        <v>38</v>
      </c>
      <c r="J167" s="3">
        <v>23800</v>
      </c>
      <c r="K167" s="3">
        <f>Tbl_Datos[[#This Row],[Unidades]]*Tbl_Datos[[#This Row],[Precio Unitario]]</f>
        <v>904400</v>
      </c>
      <c r="L167" s="3" cm="1">
        <f t="array" ref="L167">_xlfn.IFS(F167="Camas",J167*68%,F167="Comederos",J167*60%,F167="Higiene",J167*55%,F167="Juguetes",J167*62%,F167="Transporte",J167*72%)</f>
        <v>16184.000000000002</v>
      </c>
      <c r="M167" s="3">
        <f t="shared" si="6"/>
        <v>614992.00000000012</v>
      </c>
      <c r="N167" s="3">
        <f t="shared" si="7"/>
        <v>289407.99999999988</v>
      </c>
      <c r="O167" s="16">
        <f t="shared" si="8"/>
        <v>0.3199999999999999</v>
      </c>
    </row>
    <row r="168" spans="1:15" x14ac:dyDescent="0.25">
      <c r="A168" s="1" t="s">
        <v>212</v>
      </c>
      <c r="B168" s="5">
        <v>46040</v>
      </c>
      <c r="C168" s="1" t="s">
        <v>32</v>
      </c>
      <c r="D168" s="1" t="s">
        <v>21</v>
      </c>
      <c r="E168" s="1" t="s">
        <v>16</v>
      </c>
      <c r="F168" s="1" t="s">
        <v>17</v>
      </c>
      <c r="G168" s="1" t="s">
        <v>68</v>
      </c>
      <c r="H168" s="1" t="s">
        <v>6</v>
      </c>
      <c r="I168" s="1">
        <v>50</v>
      </c>
      <c r="J168" s="3">
        <v>5300</v>
      </c>
      <c r="K168" s="3">
        <f>Tbl_Datos[[#This Row],[Unidades]]*Tbl_Datos[[#This Row],[Precio Unitario]]</f>
        <v>265000</v>
      </c>
      <c r="L168" s="3" cm="1">
        <f t="array" ref="L168">_xlfn.IFS(F168="Camas",J168*68%,F168="Comederos",J168*60%,F168="Higiene",J168*55%,F168="Juguetes",J168*62%,F168="Transporte",J168*72%)</f>
        <v>3286</v>
      </c>
      <c r="M168" s="3">
        <f t="shared" si="6"/>
        <v>164300</v>
      </c>
      <c r="N168" s="3">
        <f t="shared" si="7"/>
        <v>100700</v>
      </c>
      <c r="O168" s="16">
        <f t="shared" si="8"/>
        <v>0.38</v>
      </c>
    </row>
    <row r="169" spans="1:15" x14ac:dyDescent="0.25">
      <c r="A169" s="1" t="s">
        <v>213</v>
      </c>
      <c r="B169" s="5">
        <v>46122</v>
      </c>
      <c r="C169" s="1" t="s">
        <v>47</v>
      </c>
      <c r="D169" s="1" t="s">
        <v>15</v>
      </c>
      <c r="E169" s="1" t="s">
        <v>36</v>
      </c>
      <c r="F169" s="1" t="s">
        <v>11</v>
      </c>
      <c r="G169" s="1" t="s">
        <v>28</v>
      </c>
      <c r="H169" s="1" t="s">
        <v>19</v>
      </c>
      <c r="I169" s="1">
        <v>52</v>
      </c>
      <c r="J169" s="3">
        <v>13900</v>
      </c>
      <c r="K169" s="3">
        <f>Tbl_Datos[[#This Row],[Unidades]]*Tbl_Datos[[#This Row],[Precio Unitario]]</f>
        <v>722800</v>
      </c>
      <c r="L169" s="3" cm="1">
        <f t="array" ref="L169">_xlfn.IFS(F169="Camas",J169*68%,F169="Comederos",J169*60%,F169="Higiene",J169*55%,F169="Juguetes",J169*62%,F169="Transporte",J169*72%)</f>
        <v>9452</v>
      </c>
      <c r="M169" s="3">
        <f t="shared" si="6"/>
        <v>491504</v>
      </c>
      <c r="N169" s="3">
        <f t="shared" si="7"/>
        <v>231296</v>
      </c>
      <c r="O169" s="16">
        <f t="shared" si="8"/>
        <v>0.32</v>
      </c>
    </row>
    <row r="170" spans="1:15" x14ac:dyDescent="0.25">
      <c r="A170" s="1" t="s">
        <v>214</v>
      </c>
      <c r="B170" s="5">
        <v>46081</v>
      </c>
      <c r="C170" s="1" t="s">
        <v>1</v>
      </c>
      <c r="D170" s="1" t="s">
        <v>2</v>
      </c>
      <c r="E170" s="1" t="s">
        <v>3</v>
      </c>
      <c r="F170" s="1" t="s">
        <v>22</v>
      </c>
      <c r="G170" s="1" t="s">
        <v>23</v>
      </c>
      <c r="H170" s="1" t="s">
        <v>24</v>
      </c>
      <c r="I170" s="1">
        <v>41</v>
      </c>
      <c r="J170" s="3">
        <v>48200</v>
      </c>
      <c r="K170" s="3">
        <f>Tbl_Datos[[#This Row],[Unidades]]*Tbl_Datos[[#This Row],[Precio Unitario]]</f>
        <v>1976200</v>
      </c>
      <c r="L170" s="3" cm="1">
        <f t="array" ref="L170">_xlfn.IFS(F170="Camas",J170*68%,F170="Comederos",J170*60%,F170="Higiene",J170*55%,F170="Juguetes",J170*62%,F170="Transporte",J170*72%)</f>
        <v>34704</v>
      </c>
      <c r="M170" s="3">
        <f t="shared" si="6"/>
        <v>1422864</v>
      </c>
      <c r="N170" s="3">
        <f t="shared" si="7"/>
        <v>553336</v>
      </c>
      <c r="O170" s="16">
        <f t="shared" si="8"/>
        <v>0.28000000000000003</v>
      </c>
    </row>
    <row r="171" spans="1:15" x14ac:dyDescent="0.25">
      <c r="A171" s="1" t="s">
        <v>215</v>
      </c>
      <c r="B171" s="5">
        <v>46163</v>
      </c>
      <c r="C171" s="1" t="s">
        <v>14</v>
      </c>
      <c r="D171" s="1" t="s">
        <v>21</v>
      </c>
      <c r="E171" s="1" t="s">
        <v>10</v>
      </c>
      <c r="F171" s="1" t="s">
        <v>11</v>
      </c>
      <c r="G171" s="1" t="s">
        <v>12</v>
      </c>
      <c r="H171" s="1" t="s">
        <v>19</v>
      </c>
      <c r="I171" s="1">
        <v>50</v>
      </c>
      <c r="J171" s="3">
        <v>20600</v>
      </c>
      <c r="K171" s="3">
        <f>Tbl_Datos[[#This Row],[Unidades]]*Tbl_Datos[[#This Row],[Precio Unitario]]</f>
        <v>1030000</v>
      </c>
      <c r="L171" s="3" cm="1">
        <f t="array" ref="L171">_xlfn.IFS(F171="Camas",J171*68%,F171="Comederos",J171*60%,F171="Higiene",J171*55%,F171="Juguetes",J171*62%,F171="Transporte",J171*72%)</f>
        <v>14008.000000000002</v>
      </c>
      <c r="M171" s="3">
        <f t="shared" si="6"/>
        <v>700400.00000000012</v>
      </c>
      <c r="N171" s="3">
        <f t="shared" si="7"/>
        <v>329599.99999999988</v>
      </c>
      <c r="O171" s="16">
        <f t="shared" si="8"/>
        <v>0.3199999999999999</v>
      </c>
    </row>
    <row r="172" spans="1:15" x14ac:dyDescent="0.25">
      <c r="A172" s="1" t="s">
        <v>216</v>
      </c>
      <c r="B172" s="5">
        <v>46265</v>
      </c>
      <c r="C172" s="1" t="s">
        <v>8</v>
      </c>
      <c r="D172" s="1" t="s">
        <v>27</v>
      </c>
      <c r="E172" s="1" t="s">
        <v>16</v>
      </c>
      <c r="F172" s="1" t="s">
        <v>22</v>
      </c>
      <c r="G172" s="1" t="s">
        <v>23</v>
      </c>
      <c r="H172" s="1" t="s">
        <v>19</v>
      </c>
      <c r="I172" s="1">
        <v>47</v>
      </c>
      <c r="J172" s="3">
        <v>47900</v>
      </c>
      <c r="K172" s="3">
        <f>Tbl_Datos[[#This Row],[Unidades]]*Tbl_Datos[[#This Row],[Precio Unitario]]</f>
        <v>2251300</v>
      </c>
      <c r="L172" s="3" cm="1">
        <f t="array" ref="L172">_xlfn.IFS(F172="Camas",J172*68%,F172="Comederos",J172*60%,F172="Higiene",J172*55%,F172="Juguetes",J172*62%,F172="Transporte",J172*72%)</f>
        <v>34488</v>
      </c>
      <c r="M172" s="3">
        <f t="shared" si="6"/>
        <v>1620936</v>
      </c>
      <c r="N172" s="3">
        <f t="shared" si="7"/>
        <v>630364</v>
      </c>
      <c r="O172" s="16">
        <f t="shared" si="8"/>
        <v>0.28000000000000003</v>
      </c>
    </row>
    <row r="173" spans="1:15" x14ac:dyDescent="0.25">
      <c r="A173" s="1" t="s">
        <v>217</v>
      </c>
      <c r="B173" s="5">
        <v>46074</v>
      </c>
      <c r="C173" s="1" t="s">
        <v>1</v>
      </c>
      <c r="D173" s="1" t="s">
        <v>2</v>
      </c>
      <c r="E173" s="1" t="s">
        <v>10</v>
      </c>
      <c r="F173" s="1" t="s">
        <v>17</v>
      </c>
      <c r="G173" s="1" t="s">
        <v>18</v>
      </c>
      <c r="H173" s="1" t="s">
        <v>6</v>
      </c>
      <c r="I173" s="1">
        <v>14</v>
      </c>
      <c r="J173" s="3">
        <v>2900</v>
      </c>
      <c r="K173" s="3">
        <f>Tbl_Datos[[#This Row],[Unidades]]*Tbl_Datos[[#This Row],[Precio Unitario]]</f>
        <v>40600</v>
      </c>
      <c r="L173" s="3" cm="1">
        <f t="array" ref="L173">_xlfn.IFS(F173="Camas",J173*68%,F173="Comederos",J173*60%,F173="Higiene",J173*55%,F173="Juguetes",J173*62%,F173="Transporte",J173*72%)</f>
        <v>1798</v>
      </c>
      <c r="M173" s="3">
        <f t="shared" si="6"/>
        <v>25172</v>
      </c>
      <c r="N173" s="3">
        <f t="shared" si="7"/>
        <v>15428</v>
      </c>
      <c r="O173" s="16">
        <f t="shared" si="8"/>
        <v>0.38</v>
      </c>
    </row>
    <row r="174" spans="1:15" x14ac:dyDescent="0.25">
      <c r="A174" s="1" t="s">
        <v>218</v>
      </c>
      <c r="B174" s="5">
        <v>46245</v>
      </c>
      <c r="C174" s="1" t="s">
        <v>8</v>
      </c>
      <c r="D174" s="1" t="s">
        <v>27</v>
      </c>
      <c r="E174" s="1" t="s">
        <v>16</v>
      </c>
      <c r="F174" s="1" t="s">
        <v>42</v>
      </c>
      <c r="G174" s="1" t="s">
        <v>49</v>
      </c>
      <c r="H174" s="1" t="s">
        <v>19</v>
      </c>
      <c r="I174" s="1">
        <v>7</v>
      </c>
      <c r="J174" s="3">
        <v>3500</v>
      </c>
      <c r="K174" s="3">
        <f>Tbl_Datos[[#This Row],[Unidades]]*Tbl_Datos[[#This Row],[Precio Unitario]]</f>
        <v>24500</v>
      </c>
      <c r="L174" s="3" cm="1">
        <f t="array" ref="L174">_xlfn.IFS(F174="Camas",J174*68%,F174="Comederos",J174*60%,F174="Higiene",J174*55%,F174="Juguetes",J174*62%,F174="Transporte",J174*72%)</f>
        <v>1925.0000000000002</v>
      </c>
      <c r="M174" s="3">
        <f t="shared" si="6"/>
        <v>13475.000000000002</v>
      </c>
      <c r="N174" s="3">
        <f t="shared" si="7"/>
        <v>11024.999999999998</v>
      </c>
      <c r="O174" s="16">
        <f t="shared" si="8"/>
        <v>0.4499999999999999</v>
      </c>
    </row>
    <row r="175" spans="1:15" x14ac:dyDescent="0.25">
      <c r="A175" s="1" t="s">
        <v>219</v>
      </c>
      <c r="B175" s="5">
        <v>46100</v>
      </c>
      <c r="C175" s="1" t="s">
        <v>26</v>
      </c>
      <c r="D175" s="1" t="s">
        <v>2</v>
      </c>
      <c r="E175" s="1" t="s">
        <v>53</v>
      </c>
      <c r="F175" s="1" t="s">
        <v>17</v>
      </c>
      <c r="G175" s="1" t="s">
        <v>58</v>
      </c>
      <c r="H175" s="1" t="s">
        <v>6</v>
      </c>
      <c r="I175" s="1">
        <v>17</v>
      </c>
      <c r="J175" s="3">
        <v>4200</v>
      </c>
      <c r="K175" s="3">
        <f>Tbl_Datos[[#This Row],[Unidades]]*Tbl_Datos[[#This Row],[Precio Unitario]]</f>
        <v>71400</v>
      </c>
      <c r="L175" s="3" cm="1">
        <f t="array" ref="L175">_xlfn.IFS(F175="Camas",J175*68%,F175="Comederos",J175*60%,F175="Higiene",J175*55%,F175="Juguetes",J175*62%,F175="Transporte",J175*72%)</f>
        <v>2604</v>
      </c>
      <c r="M175" s="3">
        <f t="shared" si="6"/>
        <v>44268</v>
      </c>
      <c r="N175" s="3">
        <f t="shared" si="7"/>
        <v>27132</v>
      </c>
      <c r="O175" s="16">
        <f t="shared" si="8"/>
        <v>0.38</v>
      </c>
    </row>
    <row r="176" spans="1:15" x14ac:dyDescent="0.25">
      <c r="A176" s="1" t="s">
        <v>220</v>
      </c>
      <c r="B176" s="5">
        <v>46158</v>
      </c>
      <c r="C176" s="1" t="s">
        <v>14</v>
      </c>
      <c r="D176" s="1" t="s">
        <v>21</v>
      </c>
      <c r="E176" s="1" t="s">
        <v>16</v>
      </c>
      <c r="F176" s="1" t="s">
        <v>42</v>
      </c>
      <c r="G176" s="1" t="s">
        <v>125</v>
      </c>
      <c r="H176" s="1" t="s">
        <v>19</v>
      </c>
      <c r="I176" s="1">
        <v>29</v>
      </c>
      <c r="J176" s="3">
        <v>8100</v>
      </c>
      <c r="K176" s="3">
        <f>Tbl_Datos[[#This Row],[Unidades]]*Tbl_Datos[[#This Row],[Precio Unitario]]</f>
        <v>234900</v>
      </c>
      <c r="L176" s="3" cm="1">
        <f t="array" ref="L176">_xlfn.IFS(F176="Camas",J176*68%,F176="Comederos",J176*60%,F176="Higiene",J176*55%,F176="Juguetes",J176*62%,F176="Transporte",J176*72%)</f>
        <v>4455</v>
      </c>
      <c r="M176" s="3">
        <f t="shared" si="6"/>
        <v>129195</v>
      </c>
      <c r="N176" s="3">
        <f t="shared" si="7"/>
        <v>105705</v>
      </c>
      <c r="O176" s="16">
        <f t="shared" si="8"/>
        <v>0.45</v>
      </c>
    </row>
    <row r="177" spans="1:15" x14ac:dyDescent="0.25">
      <c r="A177" s="1" t="s">
        <v>221</v>
      </c>
      <c r="B177" s="5">
        <v>46158</v>
      </c>
      <c r="C177" s="1" t="s">
        <v>14</v>
      </c>
      <c r="D177" s="1" t="s">
        <v>15</v>
      </c>
      <c r="E177" s="1" t="s">
        <v>3</v>
      </c>
      <c r="F177" s="1" t="s">
        <v>11</v>
      </c>
      <c r="G177" s="1" t="s">
        <v>144</v>
      </c>
      <c r="H177" s="1" t="s">
        <v>6</v>
      </c>
      <c r="I177" s="1">
        <v>9</v>
      </c>
      <c r="J177" s="3">
        <v>22600</v>
      </c>
      <c r="K177" s="3">
        <f>Tbl_Datos[[#This Row],[Unidades]]*Tbl_Datos[[#This Row],[Precio Unitario]]</f>
        <v>203400</v>
      </c>
      <c r="L177" s="3" cm="1">
        <f t="array" ref="L177">_xlfn.IFS(F177="Camas",J177*68%,F177="Comederos",J177*60%,F177="Higiene",J177*55%,F177="Juguetes",J177*62%,F177="Transporte",J177*72%)</f>
        <v>15368.000000000002</v>
      </c>
      <c r="M177" s="3">
        <f t="shared" si="6"/>
        <v>138312.00000000003</v>
      </c>
      <c r="N177" s="3">
        <f t="shared" si="7"/>
        <v>65087.999999999971</v>
      </c>
      <c r="O177" s="16">
        <f t="shared" si="8"/>
        <v>0.31999999999999984</v>
      </c>
    </row>
    <row r="178" spans="1:15" x14ac:dyDescent="0.25">
      <c r="A178" s="1" t="s">
        <v>222</v>
      </c>
      <c r="B178" s="5">
        <v>46170</v>
      </c>
      <c r="C178" s="1" t="s">
        <v>14</v>
      </c>
      <c r="D178" s="1" t="s">
        <v>2</v>
      </c>
      <c r="E178" s="1" t="s">
        <v>16</v>
      </c>
      <c r="F178" s="1" t="s">
        <v>22</v>
      </c>
      <c r="G178" s="1" t="s">
        <v>55</v>
      </c>
      <c r="H178" s="1" t="s">
        <v>19</v>
      </c>
      <c r="I178" s="1">
        <v>23</v>
      </c>
      <c r="J178" s="3">
        <v>39200</v>
      </c>
      <c r="K178" s="3">
        <f>Tbl_Datos[[#This Row],[Unidades]]*Tbl_Datos[[#This Row],[Precio Unitario]]</f>
        <v>901600</v>
      </c>
      <c r="L178" s="3" cm="1">
        <f t="array" ref="L178">_xlfn.IFS(F178="Camas",J178*68%,F178="Comederos",J178*60%,F178="Higiene",J178*55%,F178="Juguetes",J178*62%,F178="Transporte",J178*72%)</f>
        <v>28224</v>
      </c>
      <c r="M178" s="3">
        <f t="shared" si="6"/>
        <v>649152</v>
      </c>
      <c r="N178" s="3">
        <f t="shared" si="7"/>
        <v>252448</v>
      </c>
      <c r="O178" s="16">
        <f t="shared" si="8"/>
        <v>0.28000000000000003</v>
      </c>
    </row>
    <row r="179" spans="1:15" x14ac:dyDescent="0.25">
      <c r="A179" s="1" t="s">
        <v>223</v>
      </c>
      <c r="B179" s="5">
        <v>46082</v>
      </c>
      <c r="C179" s="1" t="s">
        <v>26</v>
      </c>
      <c r="D179" s="1" t="s">
        <v>2</v>
      </c>
      <c r="E179" s="1" t="s">
        <v>10</v>
      </c>
      <c r="F179" s="1" t="s">
        <v>11</v>
      </c>
      <c r="G179" s="1" t="s">
        <v>28</v>
      </c>
      <c r="H179" s="1" t="s">
        <v>24</v>
      </c>
      <c r="I179" s="1">
        <v>47</v>
      </c>
      <c r="J179" s="3">
        <v>15100</v>
      </c>
      <c r="K179" s="3">
        <f>Tbl_Datos[[#This Row],[Unidades]]*Tbl_Datos[[#This Row],[Precio Unitario]]</f>
        <v>709700</v>
      </c>
      <c r="L179" s="3" cm="1">
        <f t="array" ref="L179">_xlfn.IFS(F179="Camas",J179*68%,F179="Comederos",J179*60%,F179="Higiene",J179*55%,F179="Juguetes",J179*62%,F179="Transporte",J179*72%)</f>
        <v>10268</v>
      </c>
      <c r="M179" s="3">
        <f t="shared" si="6"/>
        <v>482596</v>
      </c>
      <c r="N179" s="3">
        <f t="shared" si="7"/>
        <v>227104</v>
      </c>
      <c r="O179" s="16">
        <f t="shared" si="8"/>
        <v>0.32</v>
      </c>
    </row>
    <row r="180" spans="1:15" x14ac:dyDescent="0.25">
      <c r="A180" s="1" t="s">
        <v>224</v>
      </c>
      <c r="B180" s="5">
        <v>46052</v>
      </c>
      <c r="C180" s="1" t="s">
        <v>32</v>
      </c>
      <c r="D180" s="1" t="s">
        <v>33</v>
      </c>
      <c r="E180" s="1" t="s">
        <v>36</v>
      </c>
      <c r="F180" s="1" t="s">
        <v>4</v>
      </c>
      <c r="G180" s="1" t="s">
        <v>71</v>
      </c>
      <c r="H180" s="1" t="s">
        <v>19</v>
      </c>
      <c r="I180" s="1">
        <v>41</v>
      </c>
      <c r="J180" s="3">
        <v>15200</v>
      </c>
      <c r="K180" s="3">
        <f>Tbl_Datos[[#This Row],[Unidades]]*Tbl_Datos[[#This Row],[Precio Unitario]]</f>
        <v>623200</v>
      </c>
      <c r="L180" s="3" cm="1">
        <f t="array" ref="L180">_xlfn.IFS(F180="Camas",J180*68%,F180="Comederos",J180*60%,F180="Higiene",J180*55%,F180="Juguetes",J180*62%,F180="Transporte",J180*72%)</f>
        <v>9120</v>
      </c>
      <c r="M180" s="3">
        <f t="shared" si="6"/>
        <v>373920</v>
      </c>
      <c r="N180" s="3">
        <f t="shared" si="7"/>
        <v>249280</v>
      </c>
      <c r="O180" s="16">
        <f t="shared" si="8"/>
        <v>0.4</v>
      </c>
    </row>
    <row r="181" spans="1:15" x14ac:dyDescent="0.25">
      <c r="A181" s="1" t="s">
        <v>225</v>
      </c>
      <c r="B181" s="5">
        <v>46134</v>
      </c>
      <c r="C181" s="1" t="s">
        <v>47</v>
      </c>
      <c r="D181" s="1" t="s">
        <v>15</v>
      </c>
      <c r="E181" s="1" t="s">
        <v>16</v>
      </c>
      <c r="F181" s="1" t="s">
        <v>4</v>
      </c>
      <c r="G181" s="1" t="s">
        <v>5</v>
      </c>
      <c r="H181" s="1" t="s">
        <v>24</v>
      </c>
      <c r="I181" s="1">
        <v>37</v>
      </c>
      <c r="J181" s="3">
        <v>6100</v>
      </c>
      <c r="K181" s="3">
        <f>Tbl_Datos[[#This Row],[Unidades]]*Tbl_Datos[[#This Row],[Precio Unitario]]</f>
        <v>225700</v>
      </c>
      <c r="L181" s="3" cm="1">
        <f t="array" ref="L181">_xlfn.IFS(F181="Camas",J181*68%,F181="Comederos",J181*60%,F181="Higiene",J181*55%,F181="Juguetes",J181*62%,F181="Transporte",J181*72%)</f>
        <v>3660</v>
      </c>
      <c r="M181" s="3">
        <f t="shared" si="6"/>
        <v>135420</v>
      </c>
      <c r="N181" s="3">
        <f t="shared" si="7"/>
        <v>90280</v>
      </c>
      <c r="O181" s="16">
        <f t="shared" si="8"/>
        <v>0.4</v>
      </c>
    </row>
    <row r="182" spans="1:15" x14ac:dyDescent="0.25">
      <c r="A182" s="1" t="s">
        <v>226</v>
      </c>
      <c r="B182" s="5">
        <v>46201</v>
      </c>
      <c r="C182" s="1" t="s">
        <v>45</v>
      </c>
      <c r="D182" s="1" t="s">
        <v>27</v>
      </c>
      <c r="E182" s="1" t="s">
        <v>16</v>
      </c>
      <c r="F182" s="1" t="s">
        <v>4</v>
      </c>
      <c r="G182" s="1" t="s">
        <v>71</v>
      </c>
      <c r="H182" s="1" t="s">
        <v>6</v>
      </c>
      <c r="I182" s="1">
        <v>16</v>
      </c>
      <c r="J182" s="3">
        <v>16000</v>
      </c>
      <c r="K182" s="3">
        <f>Tbl_Datos[[#This Row],[Unidades]]*Tbl_Datos[[#This Row],[Precio Unitario]]</f>
        <v>256000</v>
      </c>
      <c r="L182" s="3" cm="1">
        <f t="array" ref="L182">_xlfn.IFS(F182="Camas",J182*68%,F182="Comederos",J182*60%,F182="Higiene",J182*55%,F182="Juguetes",J182*62%,F182="Transporte",J182*72%)</f>
        <v>9600</v>
      </c>
      <c r="M182" s="3">
        <f t="shared" si="6"/>
        <v>153600</v>
      </c>
      <c r="N182" s="3">
        <f t="shared" si="7"/>
        <v>102400</v>
      </c>
      <c r="O182" s="16">
        <f t="shared" si="8"/>
        <v>0.4</v>
      </c>
    </row>
    <row r="183" spans="1:15" x14ac:dyDescent="0.25">
      <c r="A183" s="1" t="s">
        <v>227</v>
      </c>
      <c r="B183" s="5">
        <v>46216</v>
      </c>
      <c r="C183" s="1" t="s">
        <v>52</v>
      </c>
      <c r="D183" s="1" t="s">
        <v>9</v>
      </c>
      <c r="E183" s="1" t="s">
        <v>3</v>
      </c>
      <c r="F183" s="1" t="s">
        <v>22</v>
      </c>
      <c r="G183" s="1" t="s">
        <v>55</v>
      </c>
      <c r="H183" s="1" t="s">
        <v>19</v>
      </c>
      <c r="I183" s="1">
        <v>18</v>
      </c>
      <c r="J183" s="3">
        <v>39200</v>
      </c>
      <c r="K183" s="3">
        <f>Tbl_Datos[[#This Row],[Unidades]]*Tbl_Datos[[#This Row],[Precio Unitario]]</f>
        <v>705600</v>
      </c>
      <c r="L183" s="3" cm="1">
        <f t="array" ref="L183">_xlfn.IFS(F183="Camas",J183*68%,F183="Comederos",J183*60%,F183="Higiene",J183*55%,F183="Juguetes",J183*62%,F183="Transporte",J183*72%)</f>
        <v>28224</v>
      </c>
      <c r="M183" s="3">
        <f t="shared" si="6"/>
        <v>508032</v>
      </c>
      <c r="N183" s="3">
        <f t="shared" si="7"/>
        <v>197568</v>
      </c>
      <c r="O183" s="16">
        <f t="shared" si="8"/>
        <v>0.28000000000000003</v>
      </c>
    </row>
    <row r="184" spans="1:15" x14ac:dyDescent="0.25">
      <c r="A184" s="1" t="s">
        <v>228</v>
      </c>
      <c r="B184" s="5">
        <v>46249</v>
      </c>
      <c r="C184" s="1" t="s">
        <v>8</v>
      </c>
      <c r="D184" s="1" t="s">
        <v>9</v>
      </c>
      <c r="E184" s="1" t="s">
        <v>16</v>
      </c>
      <c r="F184" s="1" t="s">
        <v>22</v>
      </c>
      <c r="G184" s="1" t="s">
        <v>23</v>
      </c>
      <c r="H184" s="1" t="s">
        <v>6</v>
      </c>
      <c r="I184" s="1">
        <v>16</v>
      </c>
      <c r="J184" s="3">
        <v>45600</v>
      </c>
      <c r="K184" s="3">
        <f>Tbl_Datos[[#This Row],[Unidades]]*Tbl_Datos[[#This Row],[Precio Unitario]]</f>
        <v>729600</v>
      </c>
      <c r="L184" s="3" cm="1">
        <f t="array" ref="L184">_xlfn.IFS(F184="Camas",J184*68%,F184="Comederos",J184*60%,F184="Higiene",J184*55%,F184="Juguetes",J184*62%,F184="Transporte",J184*72%)</f>
        <v>32832</v>
      </c>
      <c r="M184" s="3">
        <f t="shared" si="6"/>
        <v>525312</v>
      </c>
      <c r="N184" s="3">
        <f t="shared" si="7"/>
        <v>204288</v>
      </c>
      <c r="O184" s="16">
        <f t="shared" si="8"/>
        <v>0.28000000000000003</v>
      </c>
    </row>
    <row r="185" spans="1:15" x14ac:dyDescent="0.25">
      <c r="A185" s="1" t="s">
        <v>229</v>
      </c>
      <c r="B185" s="5">
        <v>46105</v>
      </c>
      <c r="C185" s="1" t="s">
        <v>26</v>
      </c>
      <c r="D185" s="1" t="s">
        <v>9</v>
      </c>
      <c r="E185" s="1" t="s">
        <v>3</v>
      </c>
      <c r="F185" s="1" t="s">
        <v>11</v>
      </c>
      <c r="G185" s="1" t="s">
        <v>144</v>
      </c>
      <c r="H185" s="1" t="s">
        <v>6</v>
      </c>
      <c r="I185" s="1">
        <v>48</v>
      </c>
      <c r="J185" s="3">
        <v>23300</v>
      </c>
      <c r="K185" s="3">
        <f>Tbl_Datos[[#This Row],[Unidades]]*Tbl_Datos[[#This Row],[Precio Unitario]]</f>
        <v>1118400</v>
      </c>
      <c r="L185" s="3" cm="1">
        <f t="array" ref="L185">_xlfn.IFS(F185="Camas",J185*68%,F185="Comederos",J185*60%,F185="Higiene",J185*55%,F185="Juguetes",J185*62%,F185="Transporte",J185*72%)</f>
        <v>15844.000000000002</v>
      </c>
      <c r="M185" s="3">
        <f t="shared" si="6"/>
        <v>760512.00000000012</v>
      </c>
      <c r="N185" s="3">
        <f t="shared" si="7"/>
        <v>357887.99999999988</v>
      </c>
      <c r="O185" s="16">
        <f t="shared" si="8"/>
        <v>0.3199999999999999</v>
      </c>
    </row>
    <row r="186" spans="1:15" x14ac:dyDescent="0.25">
      <c r="A186" s="1" t="s">
        <v>230</v>
      </c>
      <c r="B186" s="5">
        <v>46259</v>
      </c>
      <c r="C186" s="1" t="s">
        <v>8</v>
      </c>
      <c r="D186" s="1" t="s">
        <v>9</v>
      </c>
      <c r="E186" s="1" t="s">
        <v>10</v>
      </c>
      <c r="F186" s="1" t="s">
        <v>11</v>
      </c>
      <c r="G186" s="1" t="s">
        <v>12</v>
      </c>
      <c r="H186" s="1" t="s">
        <v>6</v>
      </c>
      <c r="I186" s="1">
        <v>42</v>
      </c>
      <c r="J186" s="3">
        <v>18800</v>
      </c>
      <c r="K186" s="3">
        <f>Tbl_Datos[[#This Row],[Unidades]]*Tbl_Datos[[#This Row],[Precio Unitario]]</f>
        <v>789600</v>
      </c>
      <c r="L186" s="3" cm="1">
        <f t="array" ref="L186">_xlfn.IFS(F186="Camas",J186*68%,F186="Comederos",J186*60%,F186="Higiene",J186*55%,F186="Juguetes",J186*62%,F186="Transporte",J186*72%)</f>
        <v>12784.000000000002</v>
      </c>
      <c r="M186" s="3">
        <f t="shared" si="6"/>
        <v>536928.00000000012</v>
      </c>
      <c r="N186" s="3">
        <f t="shared" si="7"/>
        <v>252671.99999999988</v>
      </c>
      <c r="O186" s="16">
        <f t="shared" si="8"/>
        <v>0.31999999999999984</v>
      </c>
    </row>
    <row r="187" spans="1:15" x14ac:dyDescent="0.25">
      <c r="A187" s="1" t="s">
        <v>231</v>
      </c>
      <c r="B187" s="5">
        <v>46140</v>
      </c>
      <c r="C187" s="1" t="s">
        <v>47</v>
      </c>
      <c r="D187" s="1" t="s">
        <v>2</v>
      </c>
      <c r="E187" s="1" t="s">
        <v>3</v>
      </c>
      <c r="F187" s="1" t="s">
        <v>4</v>
      </c>
      <c r="G187" s="1" t="s">
        <v>5</v>
      </c>
      <c r="H187" s="1" t="s">
        <v>6</v>
      </c>
      <c r="I187" s="1">
        <v>10</v>
      </c>
      <c r="J187" s="3">
        <v>6700</v>
      </c>
      <c r="K187" s="3">
        <f>Tbl_Datos[[#This Row],[Unidades]]*Tbl_Datos[[#This Row],[Precio Unitario]]</f>
        <v>67000</v>
      </c>
      <c r="L187" s="3" cm="1">
        <f t="array" ref="L187">_xlfn.IFS(F187="Camas",J187*68%,F187="Comederos",J187*60%,F187="Higiene",J187*55%,F187="Juguetes",J187*62%,F187="Transporte",J187*72%)</f>
        <v>4020</v>
      </c>
      <c r="M187" s="3">
        <f t="shared" si="6"/>
        <v>40200</v>
      </c>
      <c r="N187" s="3">
        <f t="shared" si="7"/>
        <v>26800</v>
      </c>
      <c r="O187" s="16">
        <f t="shared" si="8"/>
        <v>0.4</v>
      </c>
    </row>
    <row r="188" spans="1:15" x14ac:dyDescent="0.25">
      <c r="A188" s="1" t="s">
        <v>232</v>
      </c>
      <c r="B188" s="5">
        <v>46080</v>
      </c>
      <c r="C188" s="1" t="s">
        <v>1</v>
      </c>
      <c r="D188" s="1" t="s">
        <v>33</v>
      </c>
      <c r="E188" s="1" t="s">
        <v>53</v>
      </c>
      <c r="F188" s="1" t="s">
        <v>11</v>
      </c>
      <c r="G188" s="1" t="s">
        <v>12</v>
      </c>
      <c r="H188" s="1" t="s">
        <v>6</v>
      </c>
      <c r="I188" s="1">
        <v>32</v>
      </c>
      <c r="J188" s="3">
        <v>20200</v>
      </c>
      <c r="K188" s="3">
        <f>Tbl_Datos[[#This Row],[Unidades]]*Tbl_Datos[[#This Row],[Precio Unitario]]</f>
        <v>646400</v>
      </c>
      <c r="L188" s="3" cm="1">
        <f t="array" ref="L188">_xlfn.IFS(F188="Camas",J188*68%,F188="Comederos",J188*60%,F188="Higiene",J188*55%,F188="Juguetes",J188*62%,F188="Transporte",J188*72%)</f>
        <v>13736.000000000002</v>
      </c>
      <c r="M188" s="3">
        <f t="shared" si="6"/>
        <v>439552.00000000006</v>
      </c>
      <c r="N188" s="3">
        <f t="shared" si="7"/>
        <v>206847.99999999994</v>
      </c>
      <c r="O188" s="16">
        <f t="shared" si="8"/>
        <v>0.3199999999999999</v>
      </c>
    </row>
    <row r="189" spans="1:15" x14ac:dyDescent="0.25">
      <c r="A189" s="1" t="s">
        <v>233</v>
      </c>
      <c r="B189" s="5">
        <v>46166</v>
      </c>
      <c r="C189" s="1" t="s">
        <v>14</v>
      </c>
      <c r="D189" s="1" t="s">
        <v>21</v>
      </c>
      <c r="E189" s="1" t="s">
        <v>3</v>
      </c>
      <c r="F189" s="1" t="s">
        <v>11</v>
      </c>
      <c r="G189" s="1" t="s">
        <v>12</v>
      </c>
      <c r="H189" s="1" t="s">
        <v>19</v>
      </c>
      <c r="I189" s="1">
        <v>53</v>
      </c>
      <c r="J189" s="3">
        <v>20000</v>
      </c>
      <c r="K189" s="3">
        <f>Tbl_Datos[[#This Row],[Unidades]]*Tbl_Datos[[#This Row],[Precio Unitario]]</f>
        <v>1060000</v>
      </c>
      <c r="L189" s="3" cm="1">
        <f t="array" ref="L189">_xlfn.IFS(F189="Camas",J189*68%,F189="Comederos",J189*60%,F189="Higiene",J189*55%,F189="Juguetes",J189*62%,F189="Transporte",J189*72%)</f>
        <v>13600.000000000002</v>
      </c>
      <c r="M189" s="3">
        <f t="shared" si="6"/>
        <v>720800.00000000012</v>
      </c>
      <c r="N189" s="3">
        <f t="shared" si="7"/>
        <v>339199.99999999988</v>
      </c>
      <c r="O189" s="16">
        <f t="shared" si="8"/>
        <v>0.3199999999999999</v>
      </c>
    </row>
    <row r="190" spans="1:15" x14ac:dyDescent="0.25">
      <c r="A190" s="1" t="s">
        <v>234</v>
      </c>
      <c r="B190" s="5">
        <v>46195</v>
      </c>
      <c r="C190" s="1" t="s">
        <v>45</v>
      </c>
      <c r="D190" s="1" t="s">
        <v>2</v>
      </c>
      <c r="E190" s="1" t="s">
        <v>16</v>
      </c>
      <c r="F190" s="1" t="s">
        <v>17</v>
      </c>
      <c r="G190" s="1" t="s">
        <v>68</v>
      </c>
      <c r="H190" s="1" t="s">
        <v>19</v>
      </c>
      <c r="I190" s="1">
        <v>40</v>
      </c>
      <c r="J190" s="3">
        <v>5400</v>
      </c>
      <c r="K190" s="3">
        <f>Tbl_Datos[[#This Row],[Unidades]]*Tbl_Datos[[#This Row],[Precio Unitario]]</f>
        <v>216000</v>
      </c>
      <c r="L190" s="3" cm="1">
        <f t="array" ref="L190">_xlfn.IFS(F190="Camas",J190*68%,F190="Comederos",J190*60%,F190="Higiene",J190*55%,F190="Juguetes",J190*62%,F190="Transporte",J190*72%)</f>
        <v>3348</v>
      </c>
      <c r="M190" s="3">
        <f t="shared" si="6"/>
        <v>133920</v>
      </c>
      <c r="N190" s="3">
        <f t="shared" si="7"/>
        <v>82080</v>
      </c>
      <c r="O190" s="16">
        <f t="shared" si="8"/>
        <v>0.38</v>
      </c>
    </row>
    <row r="191" spans="1:15" x14ac:dyDescent="0.25">
      <c r="A191" s="1" t="s">
        <v>235</v>
      </c>
      <c r="B191" s="5">
        <v>46160</v>
      </c>
      <c r="C191" s="1" t="s">
        <v>14</v>
      </c>
      <c r="D191" s="1" t="s">
        <v>9</v>
      </c>
      <c r="E191" s="1" t="s">
        <v>53</v>
      </c>
      <c r="F191" s="1" t="s">
        <v>42</v>
      </c>
      <c r="G191" s="1" t="s">
        <v>49</v>
      </c>
      <c r="H191" s="1" t="s">
        <v>19</v>
      </c>
      <c r="I191" s="1">
        <v>46</v>
      </c>
      <c r="J191" s="3">
        <v>3700</v>
      </c>
      <c r="K191" s="3">
        <f>Tbl_Datos[[#This Row],[Unidades]]*Tbl_Datos[[#This Row],[Precio Unitario]]</f>
        <v>170200</v>
      </c>
      <c r="L191" s="3" cm="1">
        <f t="array" ref="L191">_xlfn.IFS(F191="Camas",J191*68%,F191="Comederos",J191*60%,F191="Higiene",J191*55%,F191="Juguetes",J191*62%,F191="Transporte",J191*72%)</f>
        <v>2035.0000000000002</v>
      </c>
      <c r="M191" s="3">
        <f t="shared" si="6"/>
        <v>93610.000000000015</v>
      </c>
      <c r="N191" s="3">
        <f t="shared" si="7"/>
        <v>76589.999999999985</v>
      </c>
      <c r="O191" s="16">
        <f t="shared" si="8"/>
        <v>0.4499999999999999</v>
      </c>
    </row>
    <row r="192" spans="1:15" x14ac:dyDescent="0.25">
      <c r="A192" s="1" t="s">
        <v>236</v>
      </c>
      <c r="B192" s="5">
        <v>46134</v>
      </c>
      <c r="C192" s="1" t="s">
        <v>47</v>
      </c>
      <c r="D192" s="1" t="s">
        <v>21</v>
      </c>
      <c r="E192" s="1" t="s">
        <v>3</v>
      </c>
      <c r="F192" s="1" t="s">
        <v>22</v>
      </c>
      <c r="G192" s="1" t="s">
        <v>55</v>
      </c>
      <c r="H192" s="1" t="s">
        <v>24</v>
      </c>
      <c r="I192" s="1">
        <v>41</v>
      </c>
      <c r="J192" s="3">
        <v>37600</v>
      </c>
      <c r="K192" s="3">
        <f>Tbl_Datos[[#This Row],[Unidades]]*Tbl_Datos[[#This Row],[Precio Unitario]]</f>
        <v>1541600</v>
      </c>
      <c r="L192" s="3" cm="1">
        <f t="array" ref="L192">_xlfn.IFS(F192="Camas",J192*68%,F192="Comederos",J192*60%,F192="Higiene",J192*55%,F192="Juguetes",J192*62%,F192="Transporte",J192*72%)</f>
        <v>27072</v>
      </c>
      <c r="M192" s="3">
        <f t="shared" si="6"/>
        <v>1109952</v>
      </c>
      <c r="N192" s="3">
        <f t="shared" si="7"/>
        <v>431648</v>
      </c>
      <c r="O192" s="16">
        <f t="shared" si="8"/>
        <v>0.28000000000000003</v>
      </c>
    </row>
    <row r="193" spans="1:15" x14ac:dyDescent="0.25">
      <c r="A193" s="1" t="s">
        <v>237</v>
      </c>
      <c r="B193" s="5">
        <v>46193</v>
      </c>
      <c r="C193" s="1" t="s">
        <v>45</v>
      </c>
      <c r="D193" s="1" t="s">
        <v>27</v>
      </c>
      <c r="E193" s="1" t="s">
        <v>10</v>
      </c>
      <c r="F193" s="1" t="s">
        <v>42</v>
      </c>
      <c r="G193" s="1" t="s">
        <v>65</v>
      </c>
      <c r="H193" s="1" t="s">
        <v>19</v>
      </c>
      <c r="I193" s="1">
        <v>34</v>
      </c>
      <c r="J193" s="3">
        <v>5800</v>
      </c>
      <c r="K193" s="3">
        <f>Tbl_Datos[[#This Row],[Unidades]]*Tbl_Datos[[#This Row],[Precio Unitario]]</f>
        <v>197200</v>
      </c>
      <c r="L193" s="3" cm="1">
        <f t="array" ref="L193">_xlfn.IFS(F193="Camas",J193*68%,F193="Comederos",J193*60%,F193="Higiene",J193*55%,F193="Juguetes",J193*62%,F193="Transporte",J193*72%)</f>
        <v>3190.0000000000005</v>
      </c>
      <c r="M193" s="3">
        <f t="shared" si="6"/>
        <v>108460.00000000001</v>
      </c>
      <c r="N193" s="3">
        <f t="shared" si="7"/>
        <v>88739.999999999985</v>
      </c>
      <c r="O193" s="16">
        <f t="shared" si="8"/>
        <v>0.4499999999999999</v>
      </c>
    </row>
    <row r="194" spans="1:15" x14ac:dyDescent="0.25">
      <c r="A194" s="1" t="s">
        <v>238</v>
      </c>
      <c r="B194" s="5">
        <v>46073</v>
      </c>
      <c r="C194" s="1" t="s">
        <v>1</v>
      </c>
      <c r="D194" s="1" t="s">
        <v>15</v>
      </c>
      <c r="E194" s="1" t="s">
        <v>53</v>
      </c>
      <c r="F194" s="1" t="s">
        <v>4</v>
      </c>
      <c r="G194" s="1" t="s">
        <v>38</v>
      </c>
      <c r="H194" s="1" t="s">
        <v>6</v>
      </c>
      <c r="I194" s="1">
        <v>50</v>
      </c>
      <c r="J194" s="3">
        <v>8200</v>
      </c>
      <c r="K194" s="3">
        <f>Tbl_Datos[[#This Row],[Unidades]]*Tbl_Datos[[#This Row],[Precio Unitario]]</f>
        <v>410000</v>
      </c>
      <c r="L194" s="3" cm="1">
        <f t="array" ref="L194">_xlfn.IFS(F194="Camas",J194*68%,F194="Comederos",J194*60%,F194="Higiene",J194*55%,F194="Juguetes",J194*62%,F194="Transporte",J194*72%)</f>
        <v>4920</v>
      </c>
      <c r="M194" s="3">
        <f t="shared" ref="M194:M257" si="9">I194*L194</f>
        <v>246000</v>
      </c>
      <c r="N194" s="3">
        <f t="shared" ref="N194:N257" si="10">K194-M194</f>
        <v>164000</v>
      </c>
      <c r="O194" s="16">
        <f t="shared" ref="O194:O257" si="11">N194/K194</f>
        <v>0.4</v>
      </c>
    </row>
    <row r="195" spans="1:15" x14ac:dyDescent="0.25">
      <c r="A195" s="1" t="s">
        <v>239</v>
      </c>
      <c r="B195" s="5">
        <v>46084</v>
      </c>
      <c r="C195" s="1" t="s">
        <v>26</v>
      </c>
      <c r="D195" s="1" t="s">
        <v>15</v>
      </c>
      <c r="E195" s="1" t="s">
        <v>10</v>
      </c>
      <c r="F195" s="1" t="s">
        <v>42</v>
      </c>
      <c r="G195" s="1" t="s">
        <v>125</v>
      </c>
      <c r="H195" s="1" t="s">
        <v>19</v>
      </c>
      <c r="I195" s="1">
        <v>54</v>
      </c>
      <c r="J195" s="3">
        <v>7800</v>
      </c>
      <c r="K195" s="3">
        <f>Tbl_Datos[[#This Row],[Unidades]]*Tbl_Datos[[#This Row],[Precio Unitario]]</f>
        <v>421200</v>
      </c>
      <c r="L195" s="3" cm="1">
        <f t="array" ref="L195">_xlfn.IFS(F195="Camas",J195*68%,F195="Comederos",J195*60%,F195="Higiene",J195*55%,F195="Juguetes",J195*62%,F195="Transporte",J195*72%)</f>
        <v>4290</v>
      </c>
      <c r="M195" s="3">
        <f t="shared" si="9"/>
        <v>231660</v>
      </c>
      <c r="N195" s="3">
        <f t="shared" si="10"/>
        <v>189540</v>
      </c>
      <c r="O195" s="16">
        <f t="shared" si="11"/>
        <v>0.45</v>
      </c>
    </row>
    <row r="196" spans="1:15" x14ac:dyDescent="0.25">
      <c r="A196" s="1" t="s">
        <v>240</v>
      </c>
      <c r="B196" s="5">
        <v>46043</v>
      </c>
      <c r="C196" s="1" t="s">
        <v>32</v>
      </c>
      <c r="D196" s="1" t="s">
        <v>2</v>
      </c>
      <c r="E196" s="1" t="s">
        <v>3</v>
      </c>
      <c r="F196" s="1" t="s">
        <v>22</v>
      </c>
      <c r="G196" s="1" t="s">
        <v>40</v>
      </c>
      <c r="H196" s="1" t="s">
        <v>6</v>
      </c>
      <c r="I196" s="1">
        <v>52</v>
      </c>
      <c r="J196" s="3">
        <v>30200</v>
      </c>
      <c r="K196" s="3">
        <f>Tbl_Datos[[#This Row],[Unidades]]*Tbl_Datos[[#This Row],[Precio Unitario]]</f>
        <v>1570400</v>
      </c>
      <c r="L196" s="3" cm="1">
        <f t="array" ref="L196">_xlfn.IFS(F196="Camas",J196*68%,F196="Comederos",J196*60%,F196="Higiene",J196*55%,F196="Juguetes",J196*62%,F196="Transporte",J196*72%)</f>
        <v>21744</v>
      </c>
      <c r="M196" s="3">
        <f t="shared" si="9"/>
        <v>1130688</v>
      </c>
      <c r="N196" s="3">
        <f t="shared" si="10"/>
        <v>439712</v>
      </c>
      <c r="O196" s="16">
        <f t="shared" si="11"/>
        <v>0.28000000000000003</v>
      </c>
    </row>
    <row r="197" spans="1:15" x14ac:dyDescent="0.25">
      <c r="A197" s="1" t="s">
        <v>241</v>
      </c>
      <c r="B197" s="5">
        <v>46155</v>
      </c>
      <c r="C197" s="1" t="s">
        <v>14</v>
      </c>
      <c r="D197" s="1" t="s">
        <v>33</v>
      </c>
      <c r="E197" s="1" t="s">
        <v>10</v>
      </c>
      <c r="F197" s="1" t="s">
        <v>4</v>
      </c>
      <c r="G197" s="1" t="s">
        <v>5</v>
      </c>
      <c r="H197" s="1" t="s">
        <v>24</v>
      </c>
      <c r="I197" s="1">
        <v>28</v>
      </c>
      <c r="J197" s="3">
        <v>6100</v>
      </c>
      <c r="K197" s="3">
        <f>Tbl_Datos[[#This Row],[Unidades]]*Tbl_Datos[[#This Row],[Precio Unitario]]</f>
        <v>170800</v>
      </c>
      <c r="L197" s="3" cm="1">
        <f t="array" ref="L197">_xlfn.IFS(F197="Camas",J197*68%,F197="Comederos",J197*60%,F197="Higiene",J197*55%,F197="Juguetes",J197*62%,F197="Transporte",J197*72%)</f>
        <v>3660</v>
      </c>
      <c r="M197" s="3">
        <f t="shared" si="9"/>
        <v>102480</v>
      </c>
      <c r="N197" s="3">
        <f t="shared" si="10"/>
        <v>68320</v>
      </c>
      <c r="O197" s="16">
        <f t="shared" si="11"/>
        <v>0.4</v>
      </c>
    </row>
    <row r="198" spans="1:15" x14ac:dyDescent="0.25">
      <c r="A198" s="1" t="s">
        <v>242</v>
      </c>
      <c r="B198" s="5">
        <v>46156</v>
      </c>
      <c r="C198" s="1" t="s">
        <v>14</v>
      </c>
      <c r="D198" s="1" t="s">
        <v>27</v>
      </c>
      <c r="E198" s="1" t="s">
        <v>53</v>
      </c>
      <c r="F198" s="1" t="s">
        <v>17</v>
      </c>
      <c r="G198" s="1" t="s">
        <v>68</v>
      </c>
      <c r="H198" s="1" t="s">
        <v>6</v>
      </c>
      <c r="I198" s="1">
        <v>42</v>
      </c>
      <c r="J198" s="3">
        <v>5100</v>
      </c>
      <c r="K198" s="3">
        <f>Tbl_Datos[[#This Row],[Unidades]]*Tbl_Datos[[#This Row],[Precio Unitario]]</f>
        <v>214200</v>
      </c>
      <c r="L198" s="3" cm="1">
        <f t="array" ref="L198">_xlfn.IFS(F198="Camas",J198*68%,F198="Comederos",J198*60%,F198="Higiene",J198*55%,F198="Juguetes",J198*62%,F198="Transporte",J198*72%)</f>
        <v>3162</v>
      </c>
      <c r="M198" s="3">
        <f t="shared" si="9"/>
        <v>132804</v>
      </c>
      <c r="N198" s="3">
        <f t="shared" si="10"/>
        <v>81396</v>
      </c>
      <c r="O198" s="16">
        <f t="shared" si="11"/>
        <v>0.38</v>
      </c>
    </row>
    <row r="199" spans="1:15" x14ac:dyDescent="0.25">
      <c r="A199" s="1" t="s">
        <v>243</v>
      </c>
      <c r="B199" s="5">
        <v>46248</v>
      </c>
      <c r="C199" s="1" t="s">
        <v>8</v>
      </c>
      <c r="D199" s="1" t="s">
        <v>2</v>
      </c>
      <c r="E199" s="1" t="s">
        <v>36</v>
      </c>
      <c r="F199" s="1" t="s">
        <v>11</v>
      </c>
      <c r="G199" s="1" t="s">
        <v>28</v>
      </c>
      <c r="H199" s="1" t="s">
        <v>19</v>
      </c>
      <c r="I199" s="1">
        <v>15</v>
      </c>
      <c r="J199" s="3">
        <v>15500</v>
      </c>
      <c r="K199" s="3">
        <f>Tbl_Datos[[#This Row],[Unidades]]*Tbl_Datos[[#This Row],[Precio Unitario]]</f>
        <v>232500</v>
      </c>
      <c r="L199" s="3" cm="1">
        <f t="array" ref="L199">_xlfn.IFS(F199="Camas",J199*68%,F199="Comederos",J199*60%,F199="Higiene",J199*55%,F199="Juguetes",J199*62%,F199="Transporte",J199*72%)</f>
        <v>10540</v>
      </c>
      <c r="M199" s="3">
        <f t="shared" si="9"/>
        <v>158100</v>
      </c>
      <c r="N199" s="3">
        <f t="shared" si="10"/>
        <v>74400</v>
      </c>
      <c r="O199" s="16">
        <f t="shared" si="11"/>
        <v>0.32</v>
      </c>
    </row>
    <row r="200" spans="1:15" x14ac:dyDescent="0.25">
      <c r="A200" s="1" t="s">
        <v>244</v>
      </c>
      <c r="B200" s="5">
        <v>46202</v>
      </c>
      <c r="C200" s="1" t="s">
        <v>45</v>
      </c>
      <c r="D200" s="1" t="s">
        <v>2</v>
      </c>
      <c r="E200" s="1" t="s">
        <v>3</v>
      </c>
      <c r="F200" s="1" t="s">
        <v>22</v>
      </c>
      <c r="G200" s="1" t="s">
        <v>55</v>
      </c>
      <c r="H200" s="1" t="s">
        <v>19</v>
      </c>
      <c r="I200" s="1">
        <v>11</v>
      </c>
      <c r="J200" s="3">
        <v>38900</v>
      </c>
      <c r="K200" s="3">
        <f>Tbl_Datos[[#This Row],[Unidades]]*Tbl_Datos[[#This Row],[Precio Unitario]]</f>
        <v>427900</v>
      </c>
      <c r="L200" s="3" cm="1">
        <f t="array" ref="L200">_xlfn.IFS(F200="Camas",J200*68%,F200="Comederos",J200*60%,F200="Higiene",J200*55%,F200="Juguetes",J200*62%,F200="Transporte",J200*72%)</f>
        <v>28008</v>
      </c>
      <c r="M200" s="3">
        <f t="shared" si="9"/>
        <v>308088</v>
      </c>
      <c r="N200" s="3">
        <f t="shared" si="10"/>
        <v>119812</v>
      </c>
      <c r="O200" s="16">
        <f t="shared" si="11"/>
        <v>0.28000000000000003</v>
      </c>
    </row>
    <row r="201" spans="1:15" x14ac:dyDescent="0.25">
      <c r="A201" s="1" t="s">
        <v>245</v>
      </c>
      <c r="B201" s="5">
        <v>46248</v>
      </c>
      <c r="C201" s="1" t="s">
        <v>8</v>
      </c>
      <c r="D201" s="1" t="s">
        <v>9</v>
      </c>
      <c r="E201" s="1" t="s">
        <v>53</v>
      </c>
      <c r="F201" s="1" t="s">
        <v>4</v>
      </c>
      <c r="G201" s="1" t="s">
        <v>38</v>
      </c>
      <c r="H201" s="1" t="s">
        <v>6</v>
      </c>
      <c r="I201" s="1">
        <v>19</v>
      </c>
      <c r="J201" s="3">
        <v>8000</v>
      </c>
      <c r="K201" s="3">
        <f>Tbl_Datos[[#This Row],[Unidades]]*Tbl_Datos[[#This Row],[Precio Unitario]]</f>
        <v>152000</v>
      </c>
      <c r="L201" s="3" cm="1">
        <f t="array" ref="L201">_xlfn.IFS(F201="Camas",J201*68%,F201="Comederos",J201*60%,F201="Higiene",J201*55%,F201="Juguetes",J201*62%,F201="Transporte",J201*72%)</f>
        <v>4800</v>
      </c>
      <c r="M201" s="3">
        <f t="shared" si="9"/>
        <v>91200</v>
      </c>
      <c r="N201" s="3">
        <f t="shared" si="10"/>
        <v>60800</v>
      </c>
      <c r="O201" s="16">
        <f t="shared" si="11"/>
        <v>0.4</v>
      </c>
    </row>
    <row r="202" spans="1:15" x14ac:dyDescent="0.25">
      <c r="A202" s="1" t="s">
        <v>246</v>
      </c>
      <c r="B202" s="5">
        <v>46046</v>
      </c>
      <c r="C202" s="1" t="s">
        <v>32</v>
      </c>
      <c r="D202" s="1" t="s">
        <v>21</v>
      </c>
      <c r="E202" s="1" t="s">
        <v>10</v>
      </c>
      <c r="F202" s="1" t="s">
        <v>42</v>
      </c>
      <c r="G202" s="1" t="s">
        <v>125</v>
      </c>
      <c r="H202" s="1" t="s">
        <v>19</v>
      </c>
      <c r="I202" s="1">
        <v>6</v>
      </c>
      <c r="J202" s="3">
        <v>7900</v>
      </c>
      <c r="K202" s="3">
        <f>Tbl_Datos[[#This Row],[Unidades]]*Tbl_Datos[[#This Row],[Precio Unitario]]</f>
        <v>47400</v>
      </c>
      <c r="L202" s="3" cm="1">
        <f t="array" ref="L202">_xlfn.IFS(F202="Camas",J202*68%,F202="Comederos",J202*60%,F202="Higiene",J202*55%,F202="Juguetes",J202*62%,F202="Transporte",J202*72%)</f>
        <v>4345</v>
      </c>
      <c r="M202" s="3">
        <f t="shared" si="9"/>
        <v>26070</v>
      </c>
      <c r="N202" s="3">
        <f t="shared" si="10"/>
        <v>21330</v>
      </c>
      <c r="O202" s="16">
        <f t="shared" si="11"/>
        <v>0.45</v>
      </c>
    </row>
    <row r="203" spans="1:15" x14ac:dyDescent="0.25">
      <c r="A203" s="1" t="s">
        <v>247</v>
      </c>
      <c r="B203" s="5">
        <v>46108</v>
      </c>
      <c r="C203" s="1" t="s">
        <v>26</v>
      </c>
      <c r="D203" s="1" t="s">
        <v>21</v>
      </c>
      <c r="E203" s="1" t="s">
        <v>3</v>
      </c>
      <c r="F203" s="1" t="s">
        <v>11</v>
      </c>
      <c r="G203" s="1" t="s">
        <v>28</v>
      </c>
      <c r="H203" s="1" t="s">
        <v>6</v>
      </c>
      <c r="I203" s="1">
        <v>41</v>
      </c>
      <c r="J203" s="3">
        <v>14600</v>
      </c>
      <c r="K203" s="3">
        <f>Tbl_Datos[[#This Row],[Unidades]]*Tbl_Datos[[#This Row],[Precio Unitario]]</f>
        <v>598600</v>
      </c>
      <c r="L203" s="3" cm="1">
        <f t="array" ref="L203">_xlfn.IFS(F203="Camas",J203*68%,F203="Comederos",J203*60%,F203="Higiene",J203*55%,F203="Juguetes",J203*62%,F203="Transporte",J203*72%)</f>
        <v>9928</v>
      </c>
      <c r="M203" s="3">
        <f t="shared" si="9"/>
        <v>407048</v>
      </c>
      <c r="N203" s="3">
        <f t="shared" si="10"/>
        <v>191552</v>
      </c>
      <c r="O203" s="16">
        <f t="shared" si="11"/>
        <v>0.32</v>
      </c>
    </row>
    <row r="204" spans="1:15" x14ac:dyDescent="0.25">
      <c r="A204" s="1" t="s">
        <v>248</v>
      </c>
      <c r="B204" s="5">
        <v>46194</v>
      </c>
      <c r="C204" s="1" t="s">
        <v>45</v>
      </c>
      <c r="D204" s="1" t="s">
        <v>27</v>
      </c>
      <c r="E204" s="1" t="s">
        <v>3</v>
      </c>
      <c r="F204" s="1" t="s">
        <v>4</v>
      </c>
      <c r="G204" s="1" t="s">
        <v>38</v>
      </c>
      <c r="H204" s="1" t="s">
        <v>6</v>
      </c>
      <c r="I204" s="1">
        <v>52</v>
      </c>
      <c r="J204" s="3">
        <v>7900</v>
      </c>
      <c r="K204" s="3">
        <f>Tbl_Datos[[#This Row],[Unidades]]*Tbl_Datos[[#This Row],[Precio Unitario]]</f>
        <v>410800</v>
      </c>
      <c r="L204" s="3" cm="1">
        <f t="array" ref="L204">_xlfn.IFS(F204="Camas",J204*68%,F204="Comederos",J204*60%,F204="Higiene",J204*55%,F204="Juguetes",J204*62%,F204="Transporte",J204*72%)</f>
        <v>4740</v>
      </c>
      <c r="M204" s="3">
        <f t="shared" si="9"/>
        <v>246480</v>
      </c>
      <c r="N204" s="3">
        <f t="shared" si="10"/>
        <v>164320</v>
      </c>
      <c r="O204" s="16">
        <f t="shared" si="11"/>
        <v>0.4</v>
      </c>
    </row>
    <row r="205" spans="1:15" x14ac:dyDescent="0.25">
      <c r="A205" s="1" t="s">
        <v>249</v>
      </c>
      <c r="B205" s="5">
        <v>46057</v>
      </c>
      <c r="C205" s="1" t="s">
        <v>1</v>
      </c>
      <c r="D205" s="1" t="s">
        <v>2</v>
      </c>
      <c r="E205" s="1" t="s">
        <v>3</v>
      </c>
      <c r="F205" s="1" t="s">
        <v>42</v>
      </c>
      <c r="G205" s="1" t="s">
        <v>43</v>
      </c>
      <c r="H205" s="1" t="s">
        <v>19</v>
      </c>
      <c r="I205" s="1">
        <v>21</v>
      </c>
      <c r="J205" s="3">
        <v>13600</v>
      </c>
      <c r="K205" s="3">
        <f>Tbl_Datos[[#This Row],[Unidades]]*Tbl_Datos[[#This Row],[Precio Unitario]]</f>
        <v>285600</v>
      </c>
      <c r="L205" s="3" cm="1">
        <f t="array" ref="L205">_xlfn.IFS(F205="Camas",J205*68%,F205="Comederos",J205*60%,F205="Higiene",J205*55%,F205="Juguetes",J205*62%,F205="Transporte",J205*72%)</f>
        <v>7480.0000000000009</v>
      </c>
      <c r="M205" s="3">
        <f t="shared" si="9"/>
        <v>157080.00000000003</v>
      </c>
      <c r="N205" s="3">
        <f t="shared" si="10"/>
        <v>128519.99999999997</v>
      </c>
      <c r="O205" s="16">
        <f t="shared" si="11"/>
        <v>0.4499999999999999</v>
      </c>
    </row>
    <row r="206" spans="1:15" x14ac:dyDescent="0.25">
      <c r="A206" s="1" t="s">
        <v>250</v>
      </c>
      <c r="B206" s="5">
        <v>46208</v>
      </c>
      <c r="C206" s="1" t="s">
        <v>52</v>
      </c>
      <c r="D206" s="1" t="s">
        <v>21</v>
      </c>
      <c r="E206" s="1" t="s">
        <v>10</v>
      </c>
      <c r="F206" s="1" t="s">
        <v>42</v>
      </c>
      <c r="G206" s="1" t="s">
        <v>49</v>
      </c>
      <c r="H206" s="1" t="s">
        <v>19</v>
      </c>
      <c r="I206" s="1">
        <v>19</v>
      </c>
      <c r="J206" s="3">
        <v>3400</v>
      </c>
      <c r="K206" s="3">
        <f>Tbl_Datos[[#This Row],[Unidades]]*Tbl_Datos[[#This Row],[Precio Unitario]]</f>
        <v>64600</v>
      </c>
      <c r="L206" s="3" cm="1">
        <f t="array" ref="L206">_xlfn.IFS(F206="Camas",J206*68%,F206="Comederos",J206*60%,F206="Higiene",J206*55%,F206="Juguetes",J206*62%,F206="Transporte",J206*72%)</f>
        <v>1870.0000000000002</v>
      </c>
      <c r="M206" s="3">
        <f t="shared" si="9"/>
        <v>35530.000000000007</v>
      </c>
      <c r="N206" s="3">
        <f t="shared" si="10"/>
        <v>29069.999999999993</v>
      </c>
      <c r="O206" s="16">
        <f t="shared" si="11"/>
        <v>0.4499999999999999</v>
      </c>
    </row>
    <row r="207" spans="1:15" x14ac:dyDescent="0.25">
      <c r="A207" s="1" t="s">
        <v>251</v>
      </c>
      <c r="B207" s="5">
        <v>46057</v>
      </c>
      <c r="C207" s="1" t="s">
        <v>1</v>
      </c>
      <c r="D207" s="1" t="s">
        <v>15</v>
      </c>
      <c r="E207" s="1" t="s">
        <v>16</v>
      </c>
      <c r="F207" s="1" t="s">
        <v>11</v>
      </c>
      <c r="G207" s="1" t="s">
        <v>30</v>
      </c>
      <c r="H207" s="1" t="s">
        <v>19</v>
      </c>
      <c r="I207" s="1">
        <v>31</v>
      </c>
      <c r="J207" s="3">
        <v>26400</v>
      </c>
      <c r="K207" s="3">
        <f>Tbl_Datos[[#This Row],[Unidades]]*Tbl_Datos[[#This Row],[Precio Unitario]]</f>
        <v>818400</v>
      </c>
      <c r="L207" s="3" cm="1">
        <f t="array" ref="L207">_xlfn.IFS(F207="Camas",J207*68%,F207="Comederos",J207*60%,F207="Higiene",J207*55%,F207="Juguetes",J207*62%,F207="Transporte",J207*72%)</f>
        <v>17952</v>
      </c>
      <c r="M207" s="3">
        <f t="shared" si="9"/>
        <v>556512</v>
      </c>
      <c r="N207" s="3">
        <f t="shared" si="10"/>
        <v>261888</v>
      </c>
      <c r="O207" s="16">
        <f t="shared" si="11"/>
        <v>0.32</v>
      </c>
    </row>
    <row r="208" spans="1:15" x14ac:dyDescent="0.25">
      <c r="A208" s="1" t="s">
        <v>252</v>
      </c>
      <c r="B208" s="5">
        <v>46202</v>
      </c>
      <c r="C208" s="1" t="s">
        <v>45</v>
      </c>
      <c r="D208" s="1" t="s">
        <v>9</v>
      </c>
      <c r="E208" s="1" t="s">
        <v>3</v>
      </c>
      <c r="F208" s="1" t="s">
        <v>22</v>
      </c>
      <c r="G208" s="1" t="s">
        <v>40</v>
      </c>
      <c r="H208" s="1" t="s">
        <v>24</v>
      </c>
      <c r="I208" s="1">
        <v>28</v>
      </c>
      <c r="J208" s="3">
        <v>29800</v>
      </c>
      <c r="K208" s="3">
        <f>Tbl_Datos[[#This Row],[Unidades]]*Tbl_Datos[[#This Row],[Precio Unitario]]</f>
        <v>834400</v>
      </c>
      <c r="L208" s="3" cm="1">
        <f t="array" ref="L208">_xlfn.IFS(F208="Camas",J208*68%,F208="Comederos",J208*60%,F208="Higiene",J208*55%,F208="Juguetes",J208*62%,F208="Transporte",J208*72%)</f>
        <v>21456</v>
      </c>
      <c r="M208" s="3">
        <f t="shared" si="9"/>
        <v>600768</v>
      </c>
      <c r="N208" s="3">
        <f t="shared" si="10"/>
        <v>233632</v>
      </c>
      <c r="O208" s="16">
        <f t="shared" si="11"/>
        <v>0.28000000000000003</v>
      </c>
    </row>
    <row r="209" spans="1:15" x14ac:dyDescent="0.25">
      <c r="A209" s="1" t="s">
        <v>253</v>
      </c>
      <c r="B209" s="5">
        <v>46180</v>
      </c>
      <c r="C209" s="1" t="s">
        <v>45</v>
      </c>
      <c r="D209" s="1" t="s">
        <v>9</v>
      </c>
      <c r="E209" s="1" t="s">
        <v>16</v>
      </c>
      <c r="F209" s="1" t="s">
        <v>42</v>
      </c>
      <c r="G209" s="1" t="s">
        <v>43</v>
      </c>
      <c r="H209" s="1" t="s">
        <v>6</v>
      </c>
      <c r="I209" s="1">
        <v>27</v>
      </c>
      <c r="J209" s="3">
        <v>13200</v>
      </c>
      <c r="K209" s="3">
        <f>Tbl_Datos[[#This Row],[Unidades]]*Tbl_Datos[[#This Row],[Precio Unitario]]</f>
        <v>356400</v>
      </c>
      <c r="L209" s="3" cm="1">
        <f t="array" ref="L209">_xlfn.IFS(F209="Camas",J209*68%,F209="Comederos",J209*60%,F209="Higiene",J209*55%,F209="Juguetes",J209*62%,F209="Transporte",J209*72%)</f>
        <v>7260.0000000000009</v>
      </c>
      <c r="M209" s="3">
        <f t="shared" si="9"/>
        <v>196020.00000000003</v>
      </c>
      <c r="N209" s="3">
        <f t="shared" si="10"/>
        <v>160379.99999999997</v>
      </c>
      <c r="O209" s="16">
        <f t="shared" si="11"/>
        <v>0.4499999999999999</v>
      </c>
    </row>
    <row r="210" spans="1:15" x14ac:dyDescent="0.25">
      <c r="A210" s="1" t="s">
        <v>254</v>
      </c>
      <c r="B210" s="5">
        <v>46255</v>
      </c>
      <c r="C210" s="1" t="s">
        <v>8</v>
      </c>
      <c r="D210" s="1" t="s">
        <v>2</v>
      </c>
      <c r="E210" s="1" t="s">
        <v>53</v>
      </c>
      <c r="F210" s="1" t="s">
        <v>4</v>
      </c>
      <c r="G210" s="1" t="s">
        <v>71</v>
      </c>
      <c r="H210" s="1" t="s">
        <v>19</v>
      </c>
      <c r="I210" s="1">
        <v>53</v>
      </c>
      <c r="J210" s="3">
        <v>16700</v>
      </c>
      <c r="K210" s="3">
        <f>Tbl_Datos[[#This Row],[Unidades]]*Tbl_Datos[[#This Row],[Precio Unitario]]</f>
        <v>885100</v>
      </c>
      <c r="L210" s="3" cm="1">
        <f t="array" ref="L210">_xlfn.IFS(F210="Camas",J210*68%,F210="Comederos",J210*60%,F210="Higiene",J210*55%,F210="Juguetes",J210*62%,F210="Transporte",J210*72%)</f>
        <v>10020</v>
      </c>
      <c r="M210" s="3">
        <f t="shared" si="9"/>
        <v>531060</v>
      </c>
      <c r="N210" s="3">
        <f t="shared" si="10"/>
        <v>354040</v>
      </c>
      <c r="O210" s="16">
        <f t="shared" si="11"/>
        <v>0.4</v>
      </c>
    </row>
    <row r="211" spans="1:15" x14ac:dyDescent="0.25">
      <c r="A211" s="1" t="s">
        <v>255</v>
      </c>
      <c r="B211" s="5">
        <v>46187</v>
      </c>
      <c r="C211" s="1" t="s">
        <v>45</v>
      </c>
      <c r="D211" s="1" t="s">
        <v>21</v>
      </c>
      <c r="E211" s="1" t="s">
        <v>16</v>
      </c>
      <c r="F211" s="1" t="s">
        <v>22</v>
      </c>
      <c r="G211" s="1" t="s">
        <v>23</v>
      </c>
      <c r="H211" s="1" t="s">
        <v>6</v>
      </c>
      <c r="I211" s="1">
        <v>4</v>
      </c>
      <c r="J211" s="3">
        <v>47400</v>
      </c>
      <c r="K211" s="3">
        <f>Tbl_Datos[[#This Row],[Unidades]]*Tbl_Datos[[#This Row],[Precio Unitario]]</f>
        <v>189600</v>
      </c>
      <c r="L211" s="3" cm="1">
        <f t="array" ref="L211">_xlfn.IFS(F211="Camas",J211*68%,F211="Comederos",J211*60%,F211="Higiene",J211*55%,F211="Juguetes",J211*62%,F211="Transporte",J211*72%)</f>
        <v>34128</v>
      </c>
      <c r="M211" s="3">
        <f t="shared" si="9"/>
        <v>136512</v>
      </c>
      <c r="N211" s="3">
        <f t="shared" si="10"/>
        <v>53088</v>
      </c>
      <c r="O211" s="16">
        <f t="shared" si="11"/>
        <v>0.28000000000000003</v>
      </c>
    </row>
    <row r="212" spans="1:15" x14ac:dyDescent="0.25">
      <c r="A212" s="1" t="s">
        <v>256</v>
      </c>
      <c r="B212" s="5">
        <v>46080</v>
      </c>
      <c r="C212" s="1" t="s">
        <v>1</v>
      </c>
      <c r="D212" s="1" t="s">
        <v>21</v>
      </c>
      <c r="E212" s="1" t="s">
        <v>16</v>
      </c>
      <c r="F212" s="1" t="s">
        <v>11</v>
      </c>
      <c r="G212" s="1" t="s">
        <v>144</v>
      </c>
      <c r="H212" s="1" t="s">
        <v>6</v>
      </c>
      <c r="I212" s="1">
        <v>34</v>
      </c>
      <c r="J212" s="3">
        <v>23100</v>
      </c>
      <c r="K212" s="3">
        <f>Tbl_Datos[[#This Row],[Unidades]]*Tbl_Datos[[#This Row],[Precio Unitario]]</f>
        <v>785400</v>
      </c>
      <c r="L212" s="3" cm="1">
        <f t="array" ref="L212">_xlfn.IFS(F212="Camas",J212*68%,F212="Comederos",J212*60%,F212="Higiene",J212*55%,F212="Juguetes",J212*62%,F212="Transporte",J212*72%)</f>
        <v>15708.000000000002</v>
      </c>
      <c r="M212" s="3">
        <f t="shared" si="9"/>
        <v>534072.00000000012</v>
      </c>
      <c r="N212" s="3">
        <f t="shared" si="10"/>
        <v>251327.99999999988</v>
      </c>
      <c r="O212" s="16">
        <f t="shared" si="11"/>
        <v>0.31999999999999984</v>
      </c>
    </row>
    <row r="213" spans="1:15" x14ac:dyDescent="0.25">
      <c r="A213" s="1" t="s">
        <v>257</v>
      </c>
      <c r="B213" s="5">
        <v>46028</v>
      </c>
      <c r="C213" s="1" t="s">
        <v>32</v>
      </c>
      <c r="D213" s="1" t="s">
        <v>33</v>
      </c>
      <c r="E213" s="1" t="s">
        <v>16</v>
      </c>
      <c r="F213" s="1" t="s">
        <v>11</v>
      </c>
      <c r="G213" s="1" t="s">
        <v>144</v>
      </c>
      <c r="H213" s="1" t="s">
        <v>24</v>
      </c>
      <c r="I213" s="1">
        <v>61</v>
      </c>
      <c r="J213" s="3">
        <v>23500</v>
      </c>
      <c r="K213" s="3">
        <f>Tbl_Datos[[#This Row],[Unidades]]*Tbl_Datos[[#This Row],[Precio Unitario]]</f>
        <v>1433500</v>
      </c>
      <c r="L213" s="3" cm="1">
        <f t="array" ref="L213">_xlfn.IFS(F213="Camas",J213*68%,F213="Comederos",J213*60%,F213="Higiene",J213*55%,F213="Juguetes",J213*62%,F213="Transporte",J213*72%)</f>
        <v>15980.000000000002</v>
      </c>
      <c r="M213" s="3">
        <f t="shared" si="9"/>
        <v>974780.00000000012</v>
      </c>
      <c r="N213" s="3">
        <f t="shared" si="10"/>
        <v>458719.99999999988</v>
      </c>
      <c r="O213" s="16">
        <f t="shared" si="11"/>
        <v>0.3199999999999999</v>
      </c>
    </row>
    <row r="214" spans="1:15" x14ac:dyDescent="0.25">
      <c r="A214" s="1" t="s">
        <v>258</v>
      </c>
      <c r="B214" s="5">
        <v>46026</v>
      </c>
      <c r="C214" s="1" t="s">
        <v>32</v>
      </c>
      <c r="D214" s="1" t="s">
        <v>2</v>
      </c>
      <c r="E214" s="1" t="s">
        <v>36</v>
      </c>
      <c r="F214" s="1" t="s">
        <v>4</v>
      </c>
      <c r="G214" s="1" t="s">
        <v>5</v>
      </c>
      <c r="H214" s="1" t="s">
        <v>19</v>
      </c>
      <c r="I214" s="1">
        <v>36</v>
      </c>
      <c r="J214" s="3">
        <v>6100</v>
      </c>
      <c r="K214" s="3">
        <f>Tbl_Datos[[#This Row],[Unidades]]*Tbl_Datos[[#This Row],[Precio Unitario]]</f>
        <v>219600</v>
      </c>
      <c r="L214" s="3" cm="1">
        <f t="array" ref="L214">_xlfn.IFS(F214="Camas",J214*68%,F214="Comederos",J214*60%,F214="Higiene",J214*55%,F214="Juguetes",J214*62%,F214="Transporte",J214*72%)</f>
        <v>3660</v>
      </c>
      <c r="M214" s="3">
        <f t="shared" si="9"/>
        <v>131760</v>
      </c>
      <c r="N214" s="3">
        <f t="shared" si="10"/>
        <v>87840</v>
      </c>
      <c r="O214" s="16">
        <f t="shared" si="11"/>
        <v>0.4</v>
      </c>
    </row>
    <row r="215" spans="1:15" x14ac:dyDescent="0.25">
      <c r="A215" s="1" t="s">
        <v>259</v>
      </c>
      <c r="B215" s="5">
        <v>46260</v>
      </c>
      <c r="C215" s="1" t="s">
        <v>8</v>
      </c>
      <c r="D215" s="1" t="s">
        <v>27</v>
      </c>
      <c r="E215" s="1" t="s">
        <v>10</v>
      </c>
      <c r="F215" s="1" t="s">
        <v>42</v>
      </c>
      <c r="G215" s="1" t="s">
        <v>43</v>
      </c>
      <c r="H215" s="1" t="s">
        <v>19</v>
      </c>
      <c r="I215" s="1">
        <v>40</v>
      </c>
      <c r="J215" s="3">
        <v>12800</v>
      </c>
      <c r="K215" s="3">
        <f>Tbl_Datos[[#This Row],[Unidades]]*Tbl_Datos[[#This Row],[Precio Unitario]]</f>
        <v>512000</v>
      </c>
      <c r="L215" s="3" cm="1">
        <f t="array" ref="L215">_xlfn.IFS(F215="Camas",J215*68%,F215="Comederos",J215*60%,F215="Higiene",J215*55%,F215="Juguetes",J215*62%,F215="Transporte",J215*72%)</f>
        <v>7040.0000000000009</v>
      </c>
      <c r="M215" s="3">
        <f t="shared" si="9"/>
        <v>281600.00000000006</v>
      </c>
      <c r="N215" s="3">
        <f t="shared" si="10"/>
        <v>230399.99999999994</v>
      </c>
      <c r="O215" s="16">
        <f t="shared" si="11"/>
        <v>0.4499999999999999</v>
      </c>
    </row>
    <row r="216" spans="1:15" x14ac:dyDescent="0.25">
      <c r="A216" s="1" t="s">
        <v>260</v>
      </c>
      <c r="B216" s="5">
        <v>46214</v>
      </c>
      <c r="C216" s="1" t="s">
        <v>52</v>
      </c>
      <c r="D216" s="1" t="s">
        <v>21</v>
      </c>
      <c r="E216" s="1" t="s">
        <v>36</v>
      </c>
      <c r="F216" s="1" t="s">
        <v>11</v>
      </c>
      <c r="G216" s="1" t="s">
        <v>28</v>
      </c>
      <c r="H216" s="1" t="s">
        <v>24</v>
      </c>
      <c r="I216" s="1">
        <v>48</v>
      </c>
      <c r="J216" s="3">
        <v>15200</v>
      </c>
      <c r="K216" s="3">
        <f>Tbl_Datos[[#This Row],[Unidades]]*Tbl_Datos[[#This Row],[Precio Unitario]]</f>
        <v>729600</v>
      </c>
      <c r="L216" s="3" cm="1">
        <f t="array" ref="L216">_xlfn.IFS(F216="Camas",J216*68%,F216="Comederos",J216*60%,F216="Higiene",J216*55%,F216="Juguetes",J216*62%,F216="Transporte",J216*72%)</f>
        <v>10336</v>
      </c>
      <c r="M216" s="3">
        <f t="shared" si="9"/>
        <v>496128</v>
      </c>
      <c r="N216" s="3">
        <f t="shared" si="10"/>
        <v>233472</v>
      </c>
      <c r="O216" s="16">
        <f t="shared" si="11"/>
        <v>0.32</v>
      </c>
    </row>
    <row r="217" spans="1:15" x14ac:dyDescent="0.25">
      <c r="A217" s="1" t="s">
        <v>261</v>
      </c>
      <c r="B217" s="5">
        <v>46193</v>
      </c>
      <c r="C217" s="1" t="s">
        <v>45</v>
      </c>
      <c r="D217" s="1" t="s">
        <v>9</v>
      </c>
      <c r="E217" s="1" t="s">
        <v>16</v>
      </c>
      <c r="F217" s="1" t="s">
        <v>22</v>
      </c>
      <c r="G217" s="1" t="s">
        <v>23</v>
      </c>
      <c r="H217" s="1" t="s">
        <v>6</v>
      </c>
      <c r="I217" s="1">
        <v>26</v>
      </c>
      <c r="J217" s="3">
        <v>47700</v>
      </c>
      <c r="K217" s="3">
        <f>Tbl_Datos[[#This Row],[Unidades]]*Tbl_Datos[[#This Row],[Precio Unitario]]</f>
        <v>1240200</v>
      </c>
      <c r="L217" s="3" cm="1">
        <f t="array" ref="L217">_xlfn.IFS(F217="Camas",J217*68%,F217="Comederos",J217*60%,F217="Higiene",J217*55%,F217="Juguetes",J217*62%,F217="Transporte",J217*72%)</f>
        <v>34344</v>
      </c>
      <c r="M217" s="3">
        <f t="shared" si="9"/>
        <v>892944</v>
      </c>
      <c r="N217" s="3">
        <f t="shared" si="10"/>
        <v>347256</v>
      </c>
      <c r="O217" s="16">
        <f t="shared" si="11"/>
        <v>0.28000000000000003</v>
      </c>
    </row>
    <row r="218" spans="1:15" x14ac:dyDescent="0.25">
      <c r="A218" s="1" t="s">
        <v>262</v>
      </c>
      <c r="B218" s="5">
        <v>46081</v>
      </c>
      <c r="C218" s="1" t="s">
        <v>1</v>
      </c>
      <c r="D218" s="1" t="s">
        <v>15</v>
      </c>
      <c r="E218" s="1" t="s">
        <v>3</v>
      </c>
      <c r="F218" s="1" t="s">
        <v>4</v>
      </c>
      <c r="G218" s="1" t="s">
        <v>71</v>
      </c>
      <c r="H218" s="1" t="s">
        <v>24</v>
      </c>
      <c r="I218" s="1">
        <v>77</v>
      </c>
      <c r="J218" s="3">
        <v>16700</v>
      </c>
      <c r="K218" s="3">
        <f>Tbl_Datos[[#This Row],[Unidades]]*Tbl_Datos[[#This Row],[Precio Unitario]]</f>
        <v>1285900</v>
      </c>
      <c r="L218" s="3" cm="1">
        <f t="array" ref="L218">_xlfn.IFS(F218="Camas",J218*68%,F218="Comederos",J218*60%,F218="Higiene",J218*55%,F218="Juguetes",J218*62%,F218="Transporte",J218*72%)</f>
        <v>10020</v>
      </c>
      <c r="M218" s="3">
        <f t="shared" si="9"/>
        <v>771540</v>
      </c>
      <c r="N218" s="3">
        <f t="shared" si="10"/>
        <v>514360</v>
      </c>
      <c r="O218" s="16">
        <f t="shared" si="11"/>
        <v>0.4</v>
      </c>
    </row>
    <row r="219" spans="1:15" x14ac:dyDescent="0.25">
      <c r="A219" s="1" t="s">
        <v>263</v>
      </c>
      <c r="B219" s="5">
        <v>46263</v>
      </c>
      <c r="C219" s="1" t="s">
        <v>8</v>
      </c>
      <c r="D219" s="1" t="s">
        <v>9</v>
      </c>
      <c r="E219" s="1" t="s">
        <v>10</v>
      </c>
      <c r="F219" s="1" t="s">
        <v>42</v>
      </c>
      <c r="G219" s="1" t="s">
        <v>49</v>
      </c>
      <c r="H219" s="1" t="s">
        <v>19</v>
      </c>
      <c r="I219" s="1">
        <v>50</v>
      </c>
      <c r="J219" s="3">
        <v>3600</v>
      </c>
      <c r="K219" s="3">
        <f>Tbl_Datos[[#This Row],[Unidades]]*Tbl_Datos[[#This Row],[Precio Unitario]]</f>
        <v>180000</v>
      </c>
      <c r="L219" s="3" cm="1">
        <f t="array" ref="L219">_xlfn.IFS(F219="Camas",J219*68%,F219="Comederos",J219*60%,F219="Higiene",J219*55%,F219="Juguetes",J219*62%,F219="Transporte",J219*72%)</f>
        <v>1980.0000000000002</v>
      </c>
      <c r="M219" s="3">
        <f t="shared" si="9"/>
        <v>99000.000000000015</v>
      </c>
      <c r="N219" s="3">
        <f t="shared" si="10"/>
        <v>80999.999999999985</v>
      </c>
      <c r="O219" s="16">
        <f t="shared" si="11"/>
        <v>0.4499999999999999</v>
      </c>
    </row>
    <row r="220" spans="1:15" x14ac:dyDescent="0.25">
      <c r="A220" s="1" t="s">
        <v>264</v>
      </c>
      <c r="B220" s="5">
        <v>46110</v>
      </c>
      <c r="C220" s="1" t="s">
        <v>26</v>
      </c>
      <c r="D220" s="1" t="s">
        <v>15</v>
      </c>
      <c r="E220" s="1" t="s">
        <v>16</v>
      </c>
      <c r="F220" s="1" t="s">
        <v>42</v>
      </c>
      <c r="G220" s="1" t="s">
        <v>125</v>
      </c>
      <c r="H220" s="1" t="s">
        <v>19</v>
      </c>
      <c r="I220" s="1">
        <v>34</v>
      </c>
      <c r="J220" s="3">
        <v>7800</v>
      </c>
      <c r="K220" s="3">
        <f>Tbl_Datos[[#This Row],[Unidades]]*Tbl_Datos[[#This Row],[Precio Unitario]]</f>
        <v>265200</v>
      </c>
      <c r="L220" s="3" cm="1">
        <f t="array" ref="L220">_xlfn.IFS(F220="Camas",J220*68%,F220="Comederos",J220*60%,F220="Higiene",J220*55%,F220="Juguetes",J220*62%,F220="Transporte",J220*72%)</f>
        <v>4290</v>
      </c>
      <c r="M220" s="3">
        <f t="shared" si="9"/>
        <v>145860</v>
      </c>
      <c r="N220" s="3">
        <f t="shared" si="10"/>
        <v>119340</v>
      </c>
      <c r="O220" s="16">
        <f t="shared" si="11"/>
        <v>0.45</v>
      </c>
    </row>
    <row r="221" spans="1:15" x14ac:dyDescent="0.25">
      <c r="A221" s="1" t="s">
        <v>265</v>
      </c>
      <c r="B221" s="5">
        <v>46052</v>
      </c>
      <c r="C221" s="1" t="s">
        <v>32</v>
      </c>
      <c r="D221" s="1" t="s">
        <v>21</v>
      </c>
      <c r="E221" s="1" t="s">
        <v>3</v>
      </c>
      <c r="F221" s="1" t="s">
        <v>11</v>
      </c>
      <c r="G221" s="1" t="s">
        <v>12</v>
      </c>
      <c r="H221" s="1" t="s">
        <v>24</v>
      </c>
      <c r="I221" s="1">
        <v>33</v>
      </c>
      <c r="J221" s="3">
        <v>19200</v>
      </c>
      <c r="K221" s="3">
        <f>Tbl_Datos[[#This Row],[Unidades]]*Tbl_Datos[[#This Row],[Precio Unitario]]</f>
        <v>633600</v>
      </c>
      <c r="L221" s="3" cm="1">
        <f t="array" ref="L221">_xlfn.IFS(F221="Camas",J221*68%,F221="Comederos",J221*60%,F221="Higiene",J221*55%,F221="Juguetes",J221*62%,F221="Transporte",J221*72%)</f>
        <v>13056.000000000002</v>
      </c>
      <c r="M221" s="3">
        <f t="shared" si="9"/>
        <v>430848.00000000006</v>
      </c>
      <c r="N221" s="3">
        <f t="shared" si="10"/>
        <v>202751.99999999994</v>
      </c>
      <c r="O221" s="16">
        <f t="shared" si="11"/>
        <v>0.3199999999999999</v>
      </c>
    </row>
    <row r="222" spans="1:15" x14ac:dyDescent="0.25">
      <c r="A222" s="1" t="s">
        <v>266</v>
      </c>
      <c r="B222" s="5">
        <v>46256</v>
      </c>
      <c r="C222" s="1" t="s">
        <v>8</v>
      </c>
      <c r="D222" s="1" t="s">
        <v>33</v>
      </c>
      <c r="E222" s="1" t="s">
        <v>3</v>
      </c>
      <c r="F222" s="1" t="s">
        <v>42</v>
      </c>
      <c r="G222" s="1" t="s">
        <v>65</v>
      </c>
      <c r="H222" s="1" t="s">
        <v>19</v>
      </c>
      <c r="I222" s="1">
        <v>44</v>
      </c>
      <c r="J222" s="3">
        <v>6000</v>
      </c>
      <c r="K222" s="3">
        <f>Tbl_Datos[[#This Row],[Unidades]]*Tbl_Datos[[#This Row],[Precio Unitario]]</f>
        <v>264000</v>
      </c>
      <c r="L222" s="3" cm="1">
        <f t="array" ref="L222">_xlfn.IFS(F222="Camas",J222*68%,F222="Comederos",J222*60%,F222="Higiene",J222*55%,F222="Juguetes",J222*62%,F222="Transporte",J222*72%)</f>
        <v>3300.0000000000005</v>
      </c>
      <c r="M222" s="3">
        <f t="shared" si="9"/>
        <v>145200.00000000003</v>
      </c>
      <c r="N222" s="3">
        <f t="shared" si="10"/>
        <v>118799.99999999997</v>
      </c>
      <c r="O222" s="16">
        <f t="shared" si="11"/>
        <v>0.4499999999999999</v>
      </c>
    </row>
    <row r="223" spans="1:15" x14ac:dyDescent="0.25">
      <c r="A223" s="1" t="s">
        <v>267</v>
      </c>
      <c r="B223" s="5">
        <v>46173</v>
      </c>
      <c r="C223" s="1" t="s">
        <v>14</v>
      </c>
      <c r="D223" s="1" t="s">
        <v>27</v>
      </c>
      <c r="E223" s="1" t="s">
        <v>10</v>
      </c>
      <c r="F223" s="1" t="s">
        <v>22</v>
      </c>
      <c r="G223" s="1" t="s">
        <v>55</v>
      </c>
      <c r="H223" s="1" t="s">
        <v>19</v>
      </c>
      <c r="I223" s="1">
        <v>15</v>
      </c>
      <c r="J223" s="3">
        <v>35100</v>
      </c>
      <c r="K223" s="3">
        <f>Tbl_Datos[[#This Row],[Unidades]]*Tbl_Datos[[#This Row],[Precio Unitario]]</f>
        <v>526500</v>
      </c>
      <c r="L223" s="3" cm="1">
        <f t="array" ref="L223">_xlfn.IFS(F223="Camas",J223*68%,F223="Comederos",J223*60%,F223="Higiene",J223*55%,F223="Juguetes",J223*62%,F223="Transporte",J223*72%)</f>
        <v>25272</v>
      </c>
      <c r="M223" s="3">
        <f t="shared" si="9"/>
        <v>379080</v>
      </c>
      <c r="N223" s="3">
        <f t="shared" si="10"/>
        <v>147420</v>
      </c>
      <c r="O223" s="16">
        <f t="shared" si="11"/>
        <v>0.28000000000000003</v>
      </c>
    </row>
    <row r="224" spans="1:15" x14ac:dyDescent="0.25">
      <c r="A224" s="1" t="s">
        <v>268</v>
      </c>
      <c r="B224" s="5">
        <v>46235</v>
      </c>
      <c r="C224" s="1" t="s">
        <v>8</v>
      </c>
      <c r="D224" s="1" t="s">
        <v>27</v>
      </c>
      <c r="E224" s="1" t="s">
        <v>3</v>
      </c>
      <c r="F224" s="1" t="s">
        <v>4</v>
      </c>
      <c r="G224" s="1" t="s">
        <v>38</v>
      </c>
      <c r="H224" s="1" t="s">
        <v>19</v>
      </c>
      <c r="I224" s="1">
        <v>32</v>
      </c>
      <c r="J224" s="3">
        <v>8300</v>
      </c>
      <c r="K224" s="3">
        <f>Tbl_Datos[[#This Row],[Unidades]]*Tbl_Datos[[#This Row],[Precio Unitario]]</f>
        <v>265600</v>
      </c>
      <c r="L224" s="3" cm="1">
        <f t="array" ref="L224">_xlfn.IFS(F224="Camas",J224*68%,F224="Comederos",J224*60%,F224="Higiene",J224*55%,F224="Juguetes",J224*62%,F224="Transporte",J224*72%)</f>
        <v>4980</v>
      </c>
      <c r="M224" s="3">
        <f t="shared" si="9"/>
        <v>159360</v>
      </c>
      <c r="N224" s="3">
        <f t="shared" si="10"/>
        <v>106240</v>
      </c>
      <c r="O224" s="16">
        <f t="shared" si="11"/>
        <v>0.4</v>
      </c>
    </row>
    <row r="225" spans="1:15" x14ac:dyDescent="0.25">
      <c r="A225" s="1" t="s">
        <v>269</v>
      </c>
      <c r="B225" s="5">
        <v>46228</v>
      </c>
      <c r="C225" s="1" t="s">
        <v>52</v>
      </c>
      <c r="D225" s="1" t="s">
        <v>21</v>
      </c>
      <c r="E225" s="1" t="s">
        <v>3</v>
      </c>
      <c r="F225" s="1" t="s">
        <v>17</v>
      </c>
      <c r="G225" s="1" t="s">
        <v>74</v>
      </c>
      <c r="H225" s="1" t="s">
        <v>24</v>
      </c>
      <c r="I225" s="1">
        <v>27</v>
      </c>
      <c r="J225" s="3">
        <v>9600</v>
      </c>
      <c r="K225" s="3">
        <f>Tbl_Datos[[#This Row],[Unidades]]*Tbl_Datos[[#This Row],[Precio Unitario]]</f>
        <v>259200</v>
      </c>
      <c r="L225" s="3" cm="1">
        <f t="array" ref="L225">_xlfn.IFS(F225="Camas",J225*68%,F225="Comederos",J225*60%,F225="Higiene",J225*55%,F225="Juguetes",J225*62%,F225="Transporte",J225*72%)</f>
        <v>5952</v>
      </c>
      <c r="M225" s="3">
        <f t="shared" si="9"/>
        <v>160704</v>
      </c>
      <c r="N225" s="3">
        <f t="shared" si="10"/>
        <v>98496</v>
      </c>
      <c r="O225" s="16">
        <f t="shared" si="11"/>
        <v>0.38</v>
      </c>
    </row>
    <row r="226" spans="1:15" x14ac:dyDescent="0.25">
      <c r="A226" s="1" t="s">
        <v>270</v>
      </c>
      <c r="B226" s="5">
        <v>46197</v>
      </c>
      <c r="C226" s="1" t="s">
        <v>45</v>
      </c>
      <c r="D226" s="1" t="s">
        <v>9</v>
      </c>
      <c r="E226" s="1" t="s">
        <v>10</v>
      </c>
      <c r="F226" s="1" t="s">
        <v>22</v>
      </c>
      <c r="G226" s="1" t="s">
        <v>23</v>
      </c>
      <c r="H226" s="1" t="s">
        <v>19</v>
      </c>
      <c r="I226" s="1">
        <v>14</v>
      </c>
      <c r="J226" s="3">
        <v>49000</v>
      </c>
      <c r="K226" s="3">
        <f>Tbl_Datos[[#This Row],[Unidades]]*Tbl_Datos[[#This Row],[Precio Unitario]]</f>
        <v>686000</v>
      </c>
      <c r="L226" s="3" cm="1">
        <f t="array" ref="L226">_xlfn.IFS(F226="Camas",J226*68%,F226="Comederos",J226*60%,F226="Higiene",J226*55%,F226="Juguetes",J226*62%,F226="Transporte",J226*72%)</f>
        <v>35280</v>
      </c>
      <c r="M226" s="3">
        <f t="shared" si="9"/>
        <v>493920</v>
      </c>
      <c r="N226" s="3">
        <f t="shared" si="10"/>
        <v>192080</v>
      </c>
      <c r="O226" s="16">
        <f t="shared" si="11"/>
        <v>0.28000000000000003</v>
      </c>
    </row>
    <row r="227" spans="1:15" x14ac:dyDescent="0.25">
      <c r="A227" s="1" t="s">
        <v>271</v>
      </c>
      <c r="B227" s="5">
        <v>46077</v>
      </c>
      <c r="C227" s="1" t="s">
        <v>1</v>
      </c>
      <c r="D227" s="1" t="s">
        <v>2</v>
      </c>
      <c r="E227" s="1" t="s">
        <v>53</v>
      </c>
      <c r="F227" s="1" t="s">
        <v>11</v>
      </c>
      <c r="G227" s="1" t="s">
        <v>28</v>
      </c>
      <c r="H227" s="1" t="s">
        <v>19</v>
      </c>
      <c r="I227" s="1">
        <v>28</v>
      </c>
      <c r="J227" s="3">
        <v>15400</v>
      </c>
      <c r="K227" s="3">
        <f>Tbl_Datos[[#This Row],[Unidades]]*Tbl_Datos[[#This Row],[Precio Unitario]]</f>
        <v>431200</v>
      </c>
      <c r="L227" s="3" cm="1">
        <f t="array" ref="L227">_xlfn.IFS(F227="Camas",J227*68%,F227="Comederos",J227*60%,F227="Higiene",J227*55%,F227="Juguetes",J227*62%,F227="Transporte",J227*72%)</f>
        <v>10472</v>
      </c>
      <c r="M227" s="3">
        <f t="shared" si="9"/>
        <v>293216</v>
      </c>
      <c r="N227" s="3">
        <f t="shared" si="10"/>
        <v>137984</v>
      </c>
      <c r="O227" s="16">
        <f t="shared" si="11"/>
        <v>0.32</v>
      </c>
    </row>
    <row r="228" spans="1:15" x14ac:dyDescent="0.25">
      <c r="A228" s="1" t="s">
        <v>272</v>
      </c>
      <c r="B228" s="5">
        <v>46209</v>
      </c>
      <c r="C228" s="1" t="s">
        <v>52</v>
      </c>
      <c r="D228" s="1" t="s">
        <v>2</v>
      </c>
      <c r="E228" s="1" t="s">
        <v>3</v>
      </c>
      <c r="F228" s="1" t="s">
        <v>11</v>
      </c>
      <c r="G228" s="1" t="s">
        <v>12</v>
      </c>
      <c r="H228" s="1" t="s">
        <v>24</v>
      </c>
      <c r="I228" s="1">
        <v>45</v>
      </c>
      <c r="J228" s="3">
        <v>19500</v>
      </c>
      <c r="K228" s="3">
        <f>Tbl_Datos[[#This Row],[Unidades]]*Tbl_Datos[[#This Row],[Precio Unitario]]</f>
        <v>877500</v>
      </c>
      <c r="L228" s="3" cm="1">
        <f t="array" ref="L228">_xlfn.IFS(F228="Camas",J228*68%,F228="Comederos",J228*60%,F228="Higiene",J228*55%,F228="Juguetes",J228*62%,F228="Transporte",J228*72%)</f>
        <v>13260.000000000002</v>
      </c>
      <c r="M228" s="3">
        <f t="shared" si="9"/>
        <v>596700.00000000012</v>
      </c>
      <c r="N228" s="3">
        <f t="shared" si="10"/>
        <v>280799.99999999988</v>
      </c>
      <c r="O228" s="16">
        <f t="shared" si="11"/>
        <v>0.31999999999999984</v>
      </c>
    </row>
    <row r="229" spans="1:15" x14ac:dyDescent="0.25">
      <c r="A229" s="1" t="s">
        <v>273</v>
      </c>
      <c r="B229" s="5">
        <v>46245</v>
      </c>
      <c r="C229" s="1" t="s">
        <v>8</v>
      </c>
      <c r="D229" s="1" t="s">
        <v>15</v>
      </c>
      <c r="E229" s="1" t="s">
        <v>36</v>
      </c>
      <c r="F229" s="1" t="s">
        <v>11</v>
      </c>
      <c r="G229" s="1" t="s">
        <v>30</v>
      </c>
      <c r="H229" s="1" t="s">
        <v>19</v>
      </c>
      <c r="I229" s="1">
        <v>43</v>
      </c>
      <c r="J229" s="3">
        <v>26600</v>
      </c>
      <c r="K229" s="3">
        <f>Tbl_Datos[[#This Row],[Unidades]]*Tbl_Datos[[#This Row],[Precio Unitario]]</f>
        <v>1143800</v>
      </c>
      <c r="L229" s="3" cm="1">
        <f t="array" ref="L229">_xlfn.IFS(F229="Camas",J229*68%,F229="Comederos",J229*60%,F229="Higiene",J229*55%,F229="Juguetes",J229*62%,F229="Transporte",J229*72%)</f>
        <v>18088</v>
      </c>
      <c r="M229" s="3">
        <f t="shared" si="9"/>
        <v>777784</v>
      </c>
      <c r="N229" s="3">
        <f t="shared" si="10"/>
        <v>366016</v>
      </c>
      <c r="O229" s="16">
        <f t="shared" si="11"/>
        <v>0.32</v>
      </c>
    </row>
    <row r="230" spans="1:15" x14ac:dyDescent="0.25">
      <c r="A230" s="1" t="s">
        <v>274</v>
      </c>
      <c r="B230" s="5">
        <v>46248</v>
      </c>
      <c r="C230" s="1" t="s">
        <v>8</v>
      </c>
      <c r="D230" s="1" t="s">
        <v>33</v>
      </c>
      <c r="E230" s="1" t="s">
        <v>36</v>
      </c>
      <c r="F230" s="1" t="s">
        <v>22</v>
      </c>
      <c r="G230" s="1" t="s">
        <v>55</v>
      </c>
      <c r="H230" s="1" t="s">
        <v>24</v>
      </c>
      <c r="I230" s="1">
        <v>72</v>
      </c>
      <c r="J230" s="3">
        <v>35300</v>
      </c>
      <c r="K230" s="3">
        <f>Tbl_Datos[[#This Row],[Unidades]]*Tbl_Datos[[#This Row],[Precio Unitario]]</f>
        <v>2541600</v>
      </c>
      <c r="L230" s="3" cm="1">
        <f t="array" ref="L230">_xlfn.IFS(F230="Camas",J230*68%,F230="Comederos",J230*60%,F230="Higiene",J230*55%,F230="Juguetes",J230*62%,F230="Transporte",J230*72%)</f>
        <v>25416</v>
      </c>
      <c r="M230" s="3">
        <f t="shared" si="9"/>
        <v>1829952</v>
      </c>
      <c r="N230" s="3">
        <f t="shared" si="10"/>
        <v>711648</v>
      </c>
      <c r="O230" s="16">
        <f t="shared" si="11"/>
        <v>0.28000000000000003</v>
      </c>
    </row>
    <row r="231" spans="1:15" x14ac:dyDescent="0.25">
      <c r="A231" s="1" t="s">
        <v>275</v>
      </c>
      <c r="B231" s="5">
        <v>46224</v>
      </c>
      <c r="C231" s="1" t="s">
        <v>52</v>
      </c>
      <c r="D231" s="1" t="s">
        <v>33</v>
      </c>
      <c r="E231" s="1" t="s">
        <v>36</v>
      </c>
      <c r="F231" s="1" t="s">
        <v>4</v>
      </c>
      <c r="G231" s="1" t="s">
        <v>38</v>
      </c>
      <c r="H231" s="1" t="s">
        <v>24</v>
      </c>
      <c r="I231" s="1">
        <v>33</v>
      </c>
      <c r="J231" s="3">
        <v>7900</v>
      </c>
      <c r="K231" s="3">
        <f>Tbl_Datos[[#This Row],[Unidades]]*Tbl_Datos[[#This Row],[Precio Unitario]]</f>
        <v>260700</v>
      </c>
      <c r="L231" s="3" cm="1">
        <f t="array" ref="L231">_xlfn.IFS(F231="Camas",J231*68%,F231="Comederos",J231*60%,F231="Higiene",J231*55%,F231="Juguetes",J231*62%,F231="Transporte",J231*72%)</f>
        <v>4740</v>
      </c>
      <c r="M231" s="3">
        <f t="shared" si="9"/>
        <v>156420</v>
      </c>
      <c r="N231" s="3">
        <f t="shared" si="10"/>
        <v>104280</v>
      </c>
      <c r="O231" s="16">
        <f t="shared" si="11"/>
        <v>0.4</v>
      </c>
    </row>
    <row r="232" spans="1:15" x14ac:dyDescent="0.25">
      <c r="A232" s="1" t="s">
        <v>276</v>
      </c>
      <c r="B232" s="5">
        <v>46052</v>
      </c>
      <c r="C232" s="1" t="s">
        <v>32</v>
      </c>
      <c r="D232" s="1" t="s">
        <v>2</v>
      </c>
      <c r="E232" s="1" t="s">
        <v>3</v>
      </c>
      <c r="F232" s="1" t="s">
        <v>11</v>
      </c>
      <c r="G232" s="1" t="s">
        <v>12</v>
      </c>
      <c r="H232" s="1" t="s">
        <v>19</v>
      </c>
      <c r="I232" s="1">
        <v>36</v>
      </c>
      <c r="J232" s="3">
        <v>20800</v>
      </c>
      <c r="K232" s="3">
        <f>Tbl_Datos[[#This Row],[Unidades]]*Tbl_Datos[[#This Row],[Precio Unitario]]</f>
        <v>748800</v>
      </c>
      <c r="L232" s="3" cm="1">
        <f t="array" ref="L232">_xlfn.IFS(F232="Camas",J232*68%,F232="Comederos",J232*60%,F232="Higiene",J232*55%,F232="Juguetes",J232*62%,F232="Transporte",J232*72%)</f>
        <v>14144.000000000002</v>
      </c>
      <c r="M232" s="3">
        <f t="shared" si="9"/>
        <v>509184.00000000006</v>
      </c>
      <c r="N232" s="3">
        <f t="shared" si="10"/>
        <v>239615.99999999994</v>
      </c>
      <c r="O232" s="16">
        <f t="shared" si="11"/>
        <v>0.3199999999999999</v>
      </c>
    </row>
    <row r="233" spans="1:15" x14ac:dyDescent="0.25">
      <c r="A233" s="1" t="s">
        <v>277</v>
      </c>
      <c r="B233" s="5">
        <v>46254</v>
      </c>
      <c r="C233" s="1" t="s">
        <v>8</v>
      </c>
      <c r="D233" s="1" t="s">
        <v>2</v>
      </c>
      <c r="E233" s="1" t="s">
        <v>16</v>
      </c>
      <c r="F233" s="1" t="s">
        <v>17</v>
      </c>
      <c r="G233" s="1" t="s">
        <v>18</v>
      </c>
      <c r="H233" s="1" t="s">
        <v>6</v>
      </c>
      <c r="I233" s="1">
        <v>24</v>
      </c>
      <c r="J233" s="3">
        <v>3100</v>
      </c>
      <c r="K233" s="3">
        <f>Tbl_Datos[[#This Row],[Unidades]]*Tbl_Datos[[#This Row],[Precio Unitario]]</f>
        <v>74400</v>
      </c>
      <c r="L233" s="3" cm="1">
        <f t="array" ref="L233">_xlfn.IFS(F233="Camas",J233*68%,F233="Comederos",J233*60%,F233="Higiene",J233*55%,F233="Juguetes",J233*62%,F233="Transporte",J233*72%)</f>
        <v>1922</v>
      </c>
      <c r="M233" s="3">
        <f t="shared" si="9"/>
        <v>46128</v>
      </c>
      <c r="N233" s="3">
        <f t="shared" si="10"/>
        <v>28272</v>
      </c>
      <c r="O233" s="16">
        <f t="shared" si="11"/>
        <v>0.38</v>
      </c>
    </row>
    <row r="234" spans="1:15" x14ac:dyDescent="0.25">
      <c r="A234" s="1" t="s">
        <v>278</v>
      </c>
      <c r="B234" s="5">
        <v>46047</v>
      </c>
      <c r="C234" s="1" t="s">
        <v>32</v>
      </c>
      <c r="D234" s="1" t="s">
        <v>2</v>
      </c>
      <c r="E234" s="1" t="s">
        <v>53</v>
      </c>
      <c r="F234" s="1" t="s">
        <v>17</v>
      </c>
      <c r="G234" s="1" t="s">
        <v>58</v>
      </c>
      <c r="H234" s="1" t="s">
        <v>6</v>
      </c>
      <c r="I234" s="1">
        <v>37</v>
      </c>
      <c r="J234" s="3">
        <v>4500</v>
      </c>
      <c r="K234" s="3">
        <f>Tbl_Datos[[#This Row],[Unidades]]*Tbl_Datos[[#This Row],[Precio Unitario]]</f>
        <v>166500</v>
      </c>
      <c r="L234" s="3" cm="1">
        <f t="array" ref="L234">_xlfn.IFS(F234="Camas",J234*68%,F234="Comederos",J234*60%,F234="Higiene",J234*55%,F234="Juguetes",J234*62%,F234="Transporte",J234*72%)</f>
        <v>2790</v>
      </c>
      <c r="M234" s="3">
        <f t="shared" si="9"/>
        <v>103230</v>
      </c>
      <c r="N234" s="3">
        <f t="shared" si="10"/>
        <v>63270</v>
      </c>
      <c r="O234" s="16">
        <f t="shared" si="11"/>
        <v>0.38</v>
      </c>
    </row>
    <row r="235" spans="1:15" x14ac:dyDescent="0.25">
      <c r="A235" s="1" t="s">
        <v>279</v>
      </c>
      <c r="B235" s="5">
        <v>46191</v>
      </c>
      <c r="C235" s="1" t="s">
        <v>45</v>
      </c>
      <c r="D235" s="1" t="s">
        <v>21</v>
      </c>
      <c r="E235" s="1" t="s">
        <v>53</v>
      </c>
      <c r="F235" s="1" t="s">
        <v>4</v>
      </c>
      <c r="G235" s="1" t="s">
        <v>5</v>
      </c>
      <c r="H235" s="1" t="s">
        <v>19</v>
      </c>
      <c r="I235" s="1">
        <v>48</v>
      </c>
      <c r="J235" s="3">
        <v>6500</v>
      </c>
      <c r="K235" s="3">
        <f>Tbl_Datos[[#This Row],[Unidades]]*Tbl_Datos[[#This Row],[Precio Unitario]]</f>
        <v>312000</v>
      </c>
      <c r="L235" s="3" cm="1">
        <f t="array" ref="L235">_xlfn.IFS(F235="Camas",J235*68%,F235="Comederos",J235*60%,F235="Higiene",J235*55%,F235="Juguetes",J235*62%,F235="Transporte",J235*72%)</f>
        <v>3900</v>
      </c>
      <c r="M235" s="3">
        <f t="shared" si="9"/>
        <v>187200</v>
      </c>
      <c r="N235" s="3">
        <f t="shared" si="10"/>
        <v>124800</v>
      </c>
      <c r="O235" s="16">
        <f t="shared" si="11"/>
        <v>0.4</v>
      </c>
    </row>
    <row r="236" spans="1:15" x14ac:dyDescent="0.25">
      <c r="A236" s="1" t="s">
        <v>280</v>
      </c>
      <c r="B236" s="5">
        <v>46105</v>
      </c>
      <c r="C236" s="1" t="s">
        <v>26</v>
      </c>
      <c r="D236" s="1" t="s">
        <v>27</v>
      </c>
      <c r="E236" s="1" t="s">
        <v>3</v>
      </c>
      <c r="F236" s="1" t="s">
        <v>42</v>
      </c>
      <c r="G236" s="1" t="s">
        <v>43</v>
      </c>
      <c r="H236" s="1" t="s">
        <v>19</v>
      </c>
      <c r="I236" s="1">
        <v>21</v>
      </c>
      <c r="J236" s="3">
        <v>13000</v>
      </c>
      <c r="K236" s="3">
        <f>Tbl_Datos[[#This Row],[Unidades]]*Tbl_Datos[[#This Row],[Precio Unitario]]</f>
        <v>273000</v>
      </c>
      <c r="L236" s="3" cm="1">
        <f t="array" ref="L236">_xlfn.IFS(F236="Camas",J236*68%,F236="Comederos",J236*60%,F236="Higiene",J236*55%,F236="Juguetes",J236*62%,F236="Transporte",J236*72%)</f>
        <v>7150.0000000000009</v>
      </c>
      <c r="M236" s="3">
        <f t="shared" si="9"/>
        <v>150150.00000000003</v>
      </c>
      <c r="N236" s="3">
        <f t="shared" si="10"/>
        <v>122849.99999999997</v>
      </c>
      <c r="O236" s="16">
        <f t="shared" si="11"/>
        <v>0.4499999999999999</v>
      </c>
    </row>
    <row r="237" spans="1:15" x14ac:dyDescent="0.25">
      <c r="A237" s="1" t="s">
        <v>281</v>
      </c>
      <c r="B237" s="5">
        <v>46209</v>
      </c>
      <c r="C237" s="1" t="s">
        <v>52</v>
      </c>
      <c r="D237" s="1" t="s">
        <v>21</v>
      </c>
      <c r="E237" s="1" t="s">
        <v>3</v>
      </c>
      <c r="F237" s="1" t="s">
        <v>4</v>
      </c>
      <c r="G237" s="1" t="s">
        <v>38</v>
      </c>
      <c r="H237" s="1" t="s">
        <v>6</v>
      </c>
      <c r="I237" s="1">
        <v>52</v>
      </c>
      <c r="J237" s="3">
        <v>8100</v>
      </c>
      <c r="K237" s="3">
        <f>Tbl_Datos[[#This Row],[Unidades]]*Tbl_Datos[[#This Row],[Precio Unitario]]</f>
        <v>421200</v>
      </c>
      <c r="L237" s="3" cm="1">
        <f t="array" ref="L237">_xlfn.IFS(F237="Camas",J237*68%,F237="Comederos",J237*60%,F237="Higiene",J237*55%,F237="Juguetes",J237*62%,F237="Transporte",J237*72%)</f>
        <v>4860</v>
      </c>
      <c r="M237" s="3">
        <f t="shared" si="9"/>
        <v>252720</v>
      </c>
      <c r="N237" s="3">
        <f t="shared" si="10"/>
        <v>168480</v>
      </c>
      <c r="O237" s="16">
        <f t="shared" si="11"/>
        <v>0.4</v>
      </c>
    </row>
    <row r="238" spans="1:15" x14ac:dyDescent="0.25">
      <c r="A238" s="1" t="s">
        <v>282</v>
      </c>
      <c r="B238" s="5">
        <v>46061</v>
      </c>
      <c r="C238" s="1" t="s">
        <v>1</v>
      </c>
      <c r="D238" s="1" t="s">
        <v>27</v>
      </c>
      <c r="E238" s="1" t="s">
        <v>53</v>
      </c>
      <c r="F238" s="1" t="s">
        <v>22</v>
      </c>
      <c r="G238" s="1" t="s">
        <v>55</v>
      </c>
      <c r="H238" s="1" t="s">
        <v>19</v>
      </c>
      <c r="I238" s="1">
        <v>5</v>
      </c>
      <c r="J238" s="3">
        <v>36400</v>
      </c>
      <c r="K238" s="3">
        <f>Tbl_Datos[[#This Row],[Unidades]]*Tbl_Datos[[#This Row],[Precio Unitario]]</f>
        <v>182000</v>
      </c>
      <c r="L238" s="3" cm="1">
        <f t="array" ref="L238">_xlfn.IFS(F238="Camas",J238*68%,F238="Comederos",J238*60%,F238="Higiene",J238*55%,F238="Juguetes",J238*62%,F238="Transporte",J238*72%)</f>
        <v>26208</v>
      </c>
      <c r="M238" s="3">
        <f t="shared" si="9"/>
        <v>131040</v>
      </c>
      <c r="N238" s="3">
        <f t="shared" si="10"/>
        <v>50960</v>
      </c>
      <c r="O238" s="16">
        <f t="shared" si="11"/>
        <v>0.28000000000000003</v>
      </c>
    </row>
    <row r="239" spans="1:15" x14ac:dyDescent="0.25">
      <c r="A239" s="1" t="s">
        <v>283</v>
      </c>
      <c r="B239" s="5">
        <v>46255</v>
      </c>
      <c r="C239" s="1" t="s">
        <v>8</v>
      </c>
      <c r="D239" s="1" t="s">
        <v>33</v>
      </c>
      <c r="E239" s="1" t="s">
        <v>10</v>
      </c>
      <c r="F239" s="1" t="s">
        <v>22</v>
      </c>
      <c r="G239" s="1" t="s">
        <v>40</v>
      </c>
      <c r="H239" s="1" t="s">
        <v>19</v>
      </c>
      <c r="I239" s="1">
        <v>15</v>
      </c>
      <c r="J239" s="3">
        <v>28300</v>
      </c>
      <c r="K239" s="3">
        <f>Tbl_Datos[[#This Row],[Unidades]]*Tbl_Datos[[#This Row],[Precio Unitario]]</f>
        <v>424500</v>
      </c>
      <c r="L239" s="3" cm="1">
        <f t="array" ref="L239">_xlfn.IFS(F239="Camas",J239*68%,F239="Comederos",J239*60%,F239="Higiene",J239*55%,F239="Juguetes",J239*62%,F239="Transporte",J239*72%)</f>
        <v>20376</v>
      </c>
      <c r="M239" s="3">
        <f t="shared" si="9"/>
        <v>305640</v>
      </c>
      <c r="N239" s="3">
        <f t="shared" si="10"/>
        <v>118860</v>
      </c>
      <c r="O239" s="16">
        <f t="shared" si="11"/>
        <v>0.28000000000000003</v>
      </c>
    </row>
    <row r="240" spans="1:15" x14ac:dyDescent="0.25">
      <c r="A240" s="1" t="s">
        <v>284</v>
      </c>
      <c r="B240" s="5">
        <v>46209</v>
      </c>
      <c r="C240" s="1" t="s">
        <v>52</v>
      </c>
      <c r="D240" s="1" t="s">
        <v>15</v>
      </c>
      <c r="E240" s="1" t="s">
        <v>36</v>
      </c>
      <c r="F240" s="1" t="s">
        <v>42</v>
      </c>
      <c r="G240" s="1" t="s">
        <v>49</v>
      </c>
      <c r="H240" s="1" t="s">
        <v>19</v>
      </c>
      <c r="I240" s="1">
        <v>8</v>
      </c>
      <c r="J240" s="3">
        <v>3600</v>
      </c>
      <c r="K240" s="3">
        <f>Tbl_Datos[[#This Row],[Unidades]]*Tbl_Datos[[#This Row],[Precio Unitario]]</f>
        <v>28800</v>
      </c>
      <c r="L240" s="3" cm="1">
        <f t="array" ref="L240">_xlfn.IFS(F240="Camas",J240*68%,F240="Comederos",J240*60%,F240="Higiene",J240*55%,F240="Juguetes",J240*62%,F240="Transporte",J240*72%)</f>
        <v>1980.0000000000002</v>
      </c>
      <c r="M240" s="3">
        <f t="shared" si="9"/>
        <v>15840.000000000002</v>
      </c>
      <c r="N240" s="3">
        <f t="shared" si="10"/>
        <v>12959.999999999998</v>
      </c>
      <c r="O240" s="16">
        <f t="shared" si="11"/>
        <v>0.44999999999999996</v>
      </c>
    </row>
    <row r="241" spans="1:15" x14ac:dyDescent="0.25">
      <c r="A241" s="1" t="s">
        <v>285</v>
      </c>
      <c r="B241" s="5">
        <v>46246</v>
      </c>
      <c r="C241" s="1" t="s">
        <v>8</v>
      </c>
      <c r="D241" s="1" t="s">
        <v>2</v>
      </c>
      <c r="E241" s="1" t="s">
        <v>3</v>
      </c>
      <c r="F241" s="1" t="s">
        <v>4</v>
      </c>
      <c r="G241" s="1" t="s">
        <v>38</v>
      </c>
      <c r="H241" s="1" t="s">
        <v>19</v>
      </c>
      <c r="I241" s="1">
        <v>18</v>
      </c>
      <c r="J241" s="3">
        <v>8000</v>
      </c>
      <c r="K241" s="3">
        <f>Tbl_Datos[[#This Row],[Unidades]]*Tbl_Datos[[#This Row],[Precio Unitario]]</f>
        <v>144000</v>
      </c>
      <c r="L241" s="3" cm="1">
        <f t="array" ref="L241">_xlfn.IFS(F241="Camas",J241*68%,F241="Comederos",J241*60%,F241="Higiene",J241*55%,F241="Juguetes",J241*62%,F241="Transporte",J241*72%)</f>
        <v>4800</v>
      </c>
      <c r="M241" s="3">
        <f t="shared" si="9"/>
        <v>86400</v>
      </c>
      <c r="N241" s="3">
        <f t="shared" si="10"/>
        <v>57600</v>
      </c>
      <c r="O241" s="16">
        <f t="shared" si="11"/>
        <v>0.4</v>
      </c>
    </row>
    <row r="242" spans="1:15" x14ac:dyDescent="0.25">
      <c r="A242" s="1" t="s">
        <v>286</v>
      </c>
      <c r="B242" s="5">
        <v>46143</v>
      </c>
      <c r="C242" s="1" t="s">
        <v>14</v>
      </c>
      <c r="D242" s="1" t="s">
        <v>27</v>
      </c>
      <c r="E242" s="1" t="s">
        <v>16</v>
      </c>
      <c r="F242" s="1" t="s">
        <v>42</v>
      </c>
      <c r="G242" s="1" t="s">
        <v>125</v>
      </c>
      <c r="H242" s="1" t="s">
        <v>19</v>
      </c>
      <c r="I242" s="1">
        <v>21</v>
      </c>
      <c r="J242" s="3">
        <v>8000</v>
      </c>
      <c r="K242" s="3">
        <f>Tbl_Datos[[#This Row],[Unidades]]*Tbl_Datos[[#This Row],[Precio Unitario]]</f>
        <v>168000</v>
      </c>
      <c r="L242" s="3" cm="1">
        <f t="array" ref="L242">_xlfn.IFS(F242="Camas",J242*68%,F242="Comederos",J242*60%,F242="Higiene",J242*55%,F242="Juguetes",J242*62%,F242="Transporte",J242*72%)</f>
        <v>4400</v>
      </c>
      <c r="M242" s="3">
        <f t="shared" si="9"/>
        <v>92400</v>
      </c>
      <c r="N242" s="3">
        <f t="shared" si="10"/>
        <v>75600</v>
      </c>
      <c r="O242" s="16">
        <f t="shared" si="11"/>
        <v>0.45</v>
      </c>
    </row>
    <row r="243" spans="1:15" x14ac:dyDescent="0.25">
      <c r="A243" s="1" t="s">
        <v>287</v>
      </c>
      <c r="B243" s="5">
        <v>46216</v>
      </c>
      <c r="C243" s="1" t="s">
        <v>52</v>
      </c>
      <c r="D243" s="1" t="s">
        <v>27</v>
      </c>
      <c r="E243" s="1" t="s">
        <v>36</v>
      </c>
      <c r="F243" s="1" t="s">
        <v>11</v>
      </c>
      <c r="G243" s="1" t="s">
        <v>12</v>
      </c>
      <c r="H243" s="1" t="s">
        <v>6</v>
      </c>
      <c r="I243" s="1">
        <v>31</v>
      </c>
      <c r="J243" s="3">
        <v>19900</v>
      </c>
      <c r="K243" s="3">
        <f>Tbl_Datos[[#This Row],[Unidades]]*Tbl_Datos[[#This Row],[Precio Unitario]]</f>
        <v>616900</v>
      </c>
      <c r="L243" s="3" cm="1">
        <f t="array" ref="L243">_xlfn.IFS(F243="Camas",J243*68%,F243="Comederos",J243*60%,F243="Higiene",J243*55%,F243="Juguetes",J243*62%,F243="Transporte",J243*72%)</f>
        <v>13532.000000000002</v>
      </c>
      <c r="M243" s="3">
        <f t="shared" si="9"/>
        <v>419492.00000000006</v>
      </c>
      <c r="N243" s="3">
        <f t="shared" si="10"/>
        <v>197407.99999999994</v>
      </c>
      <c r="O243" s="16">
        <f t="shared" si="11"/>
        <v>0.3199999999999999</v>
      </c>
    </row>
    <row r="244" spans="1:15" x14ac:dyDescent="0.25">
      <c r="A244" s="1" t="s">
        <v>288</v>
      </c>
      <c r="B244" s="5">
        <v>46168</v>
      </c>
      <c r="C244" s="1" t="s">
        <v>14</v>
      </c>
      <c r="D244" s="1" t="s">
        <v>2</v>
      </c>
      <c r="E244" s="1" t="s">
        <v>3</v>
      </c>
      <c r="F244" s="1" t="s">
        <v>4</v>
      </c>
      <c r="G244" s="1" t="s">
        <v>38</v>
      </c>
      <c r="H244" s="1" t="s">
        <v>6</v>
      </c>
      <c r="I244" s="1">
        <v>24</v>
      </c>
      <c r="J244" s="3">
        <v>7800</v>
      </c>
      <c r="K244" s="3">
        <f>Tbl_Datos[[#This Row],[Unidades]]*Tbl_Datos[[#This Row],[Precio Unitario]]</f>
        <v>187200</v>
      </c>
      <c r="L244" s="3" cm="1">
        <f t="array" ref="L244">_xlfn.IFS(F244="Camas",J244*68%,F244="Comederos",J244*60%,F244="Higiene",J244*55%,F244="Juguetes",J244*62%,F244="Transporte",J244*72%)</f>
        <v>4680</v>
      </c>
      <c r="M244" s="3">
        <f t="shared" si="9"/>
        <v>112320</v>
      </c>
      <c r="N244" s="3">
        <f t="shared" si="10"/>
        <v>74880</v>
      </c>
      <c r="O244" s="16">
        <f t="shared" si="11"/>
        <v>0.4</v>
      </c>
    </row>
    <row r="245" spans="1:15" x14ac:dyDescent="0.25">
      <c r="A245" s="1" t="s">
        <v>289</v>
      </c>
      <c r="B245" s="5">
        <v>46068</v>
      </c>
      <c r="C245" s="1" t="s">
        <v>1</v>
      </c>
      <c r="D245" s="1" t="s">
        <v>9</v>
      </c>
      <c r="E245" s="1" t="s">
        <v>16</v>
      </c>
      <c r="F245" s="1" t="s">
        <v>22</v>
      </c>
      <c r="G245" s="1" t="s">
        <v>55</v>
      </c>
      <c r="H245" s="1" t="s">
        <v>19</v>
      </c>
      <c r="I245" s="1">
        <v>8</v>
      </c>
      <c r="J245" s="3">
        <v>39200</v>
      </c>
      <c r="K245" s="3">
        <f>Tbl_Datos[[#This Row],[Unidades]]*Tbl_Datos[[#This Row],[Precio Unitario]]</f>
        <v>313600</v>
      </c>
      <c r="L245" s="3" cm="1">
        <f t="array" ref="L245">_xlfn.IFS(F245="Camas",J245*68%,F245="Comederos",J245*60%,F245="Higiene",J245*55%,F245="Juguetes",J245*62%,F245="Transporte",J245*72%)</f>
        <v>28224</v>
      </c>
      <c r="M245" s="3">
        <f t="shared" si="9"/>
        <v>225792</v>
      </c>
      <c r="N245" s="3">
        <f t="shared" si="10"/>
        <v>87808</v>
      </c>
      <c r="O245" s="16">
        <f t="shared" si="11"/>
        <v>0.28000000000000003</v>
      </c>
    </row>
    <row r="246" spans="1:15" x14ac:dyDescent="0.25">
      <c r="A246" s="1" t="s">
        <v>290</v>
      </c>
      <c r="B246" s="5">
        <v>46061</v>
      </c>
      <c r="C246" s="1" t="s">
        <v>1</v>
      </c>
      <c r="D246" s="1" t="s">
        <v>33</v>
      </c>
      <c r="E246" s="1" t="s">
        <v>16</v>
      </c>
      <c r="F246" s="1" t="s">
        <v>4</v>
      </c>
      <c r="G246" s="1" t="s">
        <v>34</v>
      </c>
      <c r="H246" s="1" t="s">
        <v>24</v>
      </c>
      <c r="I246" s="1">
        <v>58</v>
      </c>
      <c r="J246" s="3">
        <v>3900</v>
      </c>
      <c r="K246" s="3">
        <f>Tbl_Datos[[#This Row],[Unidades]]*Tbl_Datos[[#This Row],[Precio Unitario]]</f>
        <v>226200</v>
      </c>
      <c r="L246" s="3" cm="1">
        <f t="array" ref="L246">_xlfn.IFS(F246="Camas",J246*68%,F246="Comederos",J246*60%,F246="Higiene",J246*55%,F246="Juguetes",J246*62%,F246="Transporte",J246*72%)</f>
        <v>2340</v>
      </c>
      <c r="M246" s="3">
        <f t="shared" si="9"/>
        <v>135720</v>
      </c>
      <c r="N246" s="3">
        <f t="shared" si="10"/>
        <v>90480</v>
      </c>
      <c r="O246" s="16">
        <f t="shared" si="11"/>
        <v>0.4</v>
      </c>
    </row>
    <row r="247" spans="1:15" x14ac:dyDescent="0.25">
      <c r="A247" s="1" t="s">
        <v>291</v>
      </c>
      <c r="B247" s="5">
        <v>46141</v>
      </c>
      <c r="C247" s="1" t="s">
        <v>47</v>
      </c>
      <c r="D247" s="1" t="s">
        <v>27</v>
      </c>
      <c r="E247" s="1" t="s">
        <v>3</v>
      </c>
      <c r="F247" s="1" t="s">
        <v>11</v>
      </c>
      <c r="G247" s="1" t="s">
        <v>12</v>
      </c>
      <c r="H247" s="1" t="s">
        <v>19</v>
      </c>
      <c r="I247" s="1">
        <v>30</v>
      </c>
      <c r="J247" s="3">
        <v>19600</v>
      </c>
      <c r="K247" s="3">
        <f>Tbl_Datos[[#This Row],[Unidades]]*Tbl_Datos[[#This Row],[Precio Unitario]]</f>
        <v>588000</v>
      </c>
      <c r="L247" s="3" cm="1">
        <f t="array" ref="L247">_xlfn.IFS(F247="Camas",J247*68%,F247="Comederos",J247*60%,F247="Higiene",J247*55%,F247="Juguetes",J247*62%,F247="Transporte",J247*72%)</f>
        <v>13328.000000000002</v>
      </c>
      <c r="M247" s="3">
        <f t="shared" si="9"/>
        <v>399840.00000000006</v>
      </c>
      <c r="N247" s="3">
        <f t="shared" si="10"/>
        <v>188159.99999999994</v>
      </c>
      <c r="O247" s="16">
        <f t="shared" si="11"/>
        <v>0.3199999999999999</v>
      </c>
    </row>
    <row r="248" spans="1:15" x14ac:dyDescent="0.25">
      <c r="A248" s="1" t="s">
        <v>292</v>
      </c>
      <c r="B248" s="5">
        <v>46104</v>
      </c>
      <c r="C248" s="1" t="s">
        <v>26</v>
      </c>
      <c r="D248" s="1" t="s">
        <v>15</v>
      </c>
      <c r="E248" s="1" t="s">
        <v>36</v>
      </c>
      <c r="F248" s="1" t="s">
        <v>17</v>
      </c>
      <c r="G248" s="1" t="s">
        <v>74</v>
      </c>
      <c r="H248" s="1" t="s">
        <v>6</v>
      </c>
      <c r="I248" s="1">
        <v>27</v>
      </c>
      <c r="J248" s="3">
        <v>10400</v>
      </c>
      <c r="K248" s="3">
        <f>Tbl_Datos[[#This Row],[Unidades]]*Tbl_Datos[[#This Row],[Precio Unitario]]</f>
        <v>280800</v>
      </c>
      <c r="L248" s="3" cm="1">
        <f t="array" ref="L248">_xlfn.IFS(F248="Camas",J248*68%,F248="Comederos",J248*60%,F248="Higiene",J248*55%,F248="Juguetes",J248*62%,F248="Transporte",J248*72%)</f>
        <v>6448</v>
      </c>
      <c r="M248" s="3">
        <f t="shared" si="9"/>
        <v>174096</v>
      </c>
      <c r="N248" s="3">
        <f t="shared" si="10"/>
        <v>106704</v>
      </c>
      <c r="O248" s="16">
        <f t="shared" si="11"/>
        <v>0.38</v>
      </c>
    </row>
    <row r="249" spans="1:15" x14ac:dyDescent="0.25">
      <c r="A249" s="1" t="s">
        <v>293</v>
      </c>
      <c r="B249" s="5">
        <v>46134</v>
      </c>
      <c r="C249" s="1" t="s">
        <v>47</v>
      </c>
      <c r="D249" s="1" t="s">
        <v>27</v>
      </c>
      <c r="E249" s="1" t="s">
        <v>36</v>
      </c>
      <c r="F249" s="1" t="s">
        <v>11</v>
      </c>
      <c r="G249" s="1" t="s">
        <v>144</v>
      </c>
      <c r="H249" s="1" t="s">
        <v>19</v>
      </c>
      <c r="I249" s="1">
        <v>44</v>
      </c>
      <c r="J249" s="3">
        <v>23600</v>
      </c>
      <c r="K249" s="3">
        <f>Tbl_Datos[[#This Row],[Unidades]]*Tbl_Datos[[#This Row],[Precio Unitario]]</f>
        <v>1038400</v>
      </c>
      <c r="L249" s="3" cm="1">
        <f t="array" ref="L249">_xlfn.IFS(F249="Camas",J249*68%,F249="Comederos",J249*60%,F249="Higiene",J249*55%,F249="Juguetes",J249*62%,F249="Transporte",J249*72%)</f>
        <v>16048.000000000002</v>
      </c>
      <c r="M249" s="3">
        <f t="shared" si="9"/>
        <v>706112.00000000012</v>
      </c>
      <c r="N249" s="3">
        <f t="shared" si="10"/>
        <v>332287.99999999988</v>
      </c>
      <c r="O249" s="16">
        <f t="shared" si="11"/>
        <v>0.3199999999999999</v>
      </c>
    </row>
    <row r="250" spans="1:15" x14ac:dyDescent="0.25">
      <c r="A250" s="1" t="s">
        <v>294</v>
      </c>
      <c r="B250" s="5">
        <v>46114</v>
      </c>
      <c r="C250" s="1" t="s">
        <v>47</v>
      </c>
      <c r="D250" s="1" t="s">
        <v>2</v>
      </c>
      <c r="E250" s="1" t="s">
        <v>16</v>
      </c>
      <c r="F250" s="1" t="s">
        <v>11</v>
      </c>
      <c r="G250" s="1" t="s">
        <v>12</v>
      </c>
      <c r="H250" s="1" t="s">
        <v>6</v>
      </c>
      <c r="I250" s="1">
        <v>36</v>
      </c>
      <c r="J250" s="3">
        <v>18900</v>
      </c>
      <c r="K250" s="3">
        <f>Tbl_Datos[[#This Row],[Unidades]]*Tbl_Datos[[#This Row],[Precio Unitario]]</f>
        <v>680400</v>
      </c>
      <c r="L250" s="3" cm="1">
        <f t="array" ref="L250">_xlfn.IFS(F250="Camas",J250*68%,F250="Comederos",J250*60%,F250="Higiene",J250*55%,F250="Juguetes",J250*62%,F250="Transporte",J250*72%)</f>
        <v>12852.000000000002</v>
      </c>
      <c r="M250" s="3">
        <f t="shared" si="9"/>
        <v>462672.00000000006</v>
      </c>
      <c r="N250" s="3">
        <f t="shared" si="10"/>
        <v>217727.99999999994</v>
      </c>
      <c r="O250" s="16">
        <f t="shared" si="11"/>
        <v>0.3199999999999999</v>
      </c>
    </row>
    <row r="251" spans="1:15" x14ac:dyDescent="0.25">
      <c r="A251" s="1" t="s">
        <v>295</v>
      </c>
      <c r="B251" s="5">
        <v>46167</v>
      </c>
      <c r="C251" s="1" t="s">
        <v>14</v>
      </c>
      <c r="D251" s="1" t="s">
        <v>2</v>
      </c>
      <c r="E251" s="1" t="s">
        <v>10</v>
      </c>
      <c r="F251" s="1" t="s">
        <v>17</v>
      </c>
      <c r="G251" s="1" t="s">
        <v>18</v>
      </c>
      <c r="H251" s="1" t="s">
        <v>19</v>
      </c>
      <c r="I251" s="1">
        <v>12</v>
      </c>
      <c r="J251" s="3">
        <v>3100</v>
      </c>
      <c r="K251" s="3">
        <f>Tbl_Datos[[#This Row],[Unidades]]*Tbl_Datos[[#This Row],[Precio Unitario]]</f>
        <v>37200</v>
      </c>
      <c r="L251" s="3" cm="1">
        <f t="array" ref="L251">_xlfn.IFS(F251="Camas",J251*68%,F251="Comederos",J251*60%,F251="Higiene",J251*55%,F251="Juguetes",J251*62%,F251="Transporte",J251*72%)</f>
        <v>1922</v>
      </c>
      <c r="M251" s="3">
        <f t="shared" si="9"/>
        <v>23064</v>
      </c>
      <c r="N251" s="3">
        <f t="shared" si="10"/>
        <v>14136</v>
      </c>
      <c r="O251" s="16">
        <f t="shared" si="11"/>
        <v>0.38</v>
      </c>
    </row>
    <row r="252" spans="1:15" x14ac:dyDescent="0.25">
      <c r="A252" s="1" t="s">
        <v>296</v>
      </c>
      <c r="B252" s="5">
        <v>46069</v>
      </c>
      <c r="C252" s="1" t="s">
        <v>1</v>
      </c>
      <c r="D252" s="1" t="s">
        <v>21</v>
      </c>
      <c r="E252" s="1" t="s">
        <v>53</v>
      </c>
      <c r="F252" s="1" t="s">
        <v>17</v>
      </c>
      <c r="G252" s="1" t="s">
        <v>68</v>
      </c>
      <c r="H252" s="1" t="s">
        <v>6</v>
      </c>
      <c r="I252" s="1">
        <v>28</v>
      </c>
      <c r="J252" s="3">
        <v>5300</v>
      </c>
      <c r="K252" s="3">
        <f>Tbl_Datos[[#This Row],[Unidades]]*Tbl_Datos[[#This Row],[Precio Unitario]]</f>
        <v>148400</v>
      </c>
      <c r="L252" s="3" cm="1">
        <f t="array" ref="L252">_xlfn.IFS(F252="Camas",J252*68%,F252="Comederos",J252*60%,F252="Higiene",J252*55%,F252="Juguetes",J252*62%,F252="Transporte",J252*72%)</f>
        <v>3286</v>
      </c>
      <c r="M252" s="3">
        <f t="shared" si="9"/>
        <v>92008</v>
      </c>
      <c r="N252" s="3">
        <f t="shared" si="10"/>
        <v>56392</v>
      </c>
      <c r="O252" s="16">
        <f t="shared" si="11"/>
        <v>0.38</v>
      </c>
    </row>
    <row r="253" spans="1:15" x14ac:dyDescent="0.25">
      <c r="A253" s="1" t="s">
        <v>297</v>
      </c>
      <c r="B253" s="5">
        <v>46029</v>
      </c>
      <c r="C253" s="1" t="s">
        <v>32</v>
      </c>
      <c r="D253" s="1" t="s">
        <v>21</v>
      </c>
      <c r="E253" s="1" t="s">
        <v>53</v>
      </c>
      <c r="F253" s="1" t="s">
        <v>11</v>
      </c>
      <c r="G253" s="1" t="s">
        <v>144</v>
      </c>
      <c r="H253" s="1" t="s">
        <v>6</v>
      </c>
      <c r="I253" s="1">
        <v>30</v>
      </c>
      <c r="J253" s="3">
        <v>22800</v>
      </c>
      <c r="K253" s="3">
        <f>Tbl_Datos[[#This Row],[Unidades]]*Tbl_Datos[[#This Row],[Precio Unitario]]</f>
        <v>684000</v>
      </c>
      <c r="L253" s="3" cm="1">
        <f t="array" ref="L253">_xlfn.IFS(F253="Camas",J253*68%,F253="Comederos",J253*60%,F253="Higiene",J253*55%,F253="Juguetes",J253*62%,F253="Transporte",J253*72%)</f>
        <v>15504.000000000002</v>
      </c>
      <c r="M253" s="3">
        <f t="shared" si="9"/>
        <v>465120.00000000006</v>
      </c>
      <c r="N253" s="3">
        <f t="shared" si="10"/>
        <v>218879.99999999994</v>
      </c>
      <c r="O253" s="16">
        <f t="shared" si="11"/>
        <v>0.3199999999999999</v>
      </c>
    </row>
    <row r="254" spans="1:15" x14ac:dyDescent="0.25">
      <c r="A254" s="1" t="s">
        <v>298</v>
      </c>
      <c r="B254" s="5">
        <v>46226</v>
      </c>
      <c r="C254" s="1" t="s">
        <v>52</v>
      </c>
      <c r="D254" s="1" t="s">
        <v>15</v>
      </c>
      <c r="E254" s="1" t="s">
        <v>16</v>
      </c>
      <c r="F254" s="1" t="s">
        <v>22</v>
      </c>
      <c r="G254" s="1" t="s">
        <v>40</v>
      </c>
      <c r="H254" s="1" t="s">
        <v>24</v>
      </c>
      <c r="I254" s="1">
        <v>51</v>
      </c>
      <c r="J254" s="3">
        <v>29400</v>
      </c>
      <c r="K254" s="3">
        <f>Tbl_Datos[[#This Row],[Unidades]]*Tbl_Datos[[#This Row],[Precio Unitario]]</f>
        <v>1499400</v>
      </c>
      <c r="L254" s="3" cm="1">
        <f t="array" ref="L254">_xlfn.IFS(F254="Camas",J254*68%,F254="Comederos",J254*60%,F254="Higiene",J254*55%,F254="Juguetes",J254*62%,F254="Transporte",J254*72%)</f>
        <v>21168</v>
      </c>
      <c r="M254" s="3">
        <f t="shared" si="9"/>
        <v>1079568</v>
      </c>
      <c r="N254" s="3">
        <f t="shared" si="10"/>
        <v>419832</v>
      </c>
      <c r="O254" s="16">
        <f t="shared" si="11"/>
        <v>0.28000000000000003</v>
      </c>
    </row>
    <row r="255" spans="1:15" x14ac:dyDescent="0.25">
      <c r="A255" s="1" t="s">
        <v>299</v>
      </c>
      <c r="B255" s="5">
        <v>46231</v>
      </c>
      <c r="C255" s="1" t="s">
        <v>52</v>
      </c>
      <c r="D255" s="1" t="s">
        <v>33</v>
      </c>
      <c r="E255" s="1" t="s">
        <v>36</v>
      </c>
      <c r="F255" s="1" t="s">
        <v>4</v>
      </c>
      <c r="G255" s="1" t="s">
        <v>38</v>
      </c>
      <c r="H255" s="1" t="s">
        <v>19</v>
      </c>
      <c r="I255" s="1">
        <v>20</v>
      </c>
      <c r="J255" s="3">
        <v>8300</v>
      </c>
      <c r="K255" s="3">
        <f>Tbl_Datos[[#This Row],[Unidades]]*Tbl_Datos[[#This Row],[Precio Unitario]]</f>
        <v>166000</v>
      </c>
      <c r="L255" s="3" cm="1">
        <f t="array" ref="L255">_xlfn.IFS(F255="Camas",J255*68%,F255="Comederos",J255*60%,F255="Higiene",J255*55%,F255="Juguetes",J255*62%,F255="Transporte",J255*72%)</f>
        <v>4980</v>
      </c>
      <c r="M255" s="3">
        <f t="shared" si="9"/>
        <v>99600</v>
      </c>
      <c r="N255" s="3">
        <f t="shared" si="10"/>
        <v>66400</v>
      </c>
      <c r="O255" s="16">
        <f t="shared" si="11"/>
        <v>0.4</v>
      </c>
    </row>
    <row r="256" spans="1:15" x14ac:dyDescent="0.25">
      <c r="A256" s="1" t="s">
        <v>300</v>
      </c>
      <c r="B256" s="5">
        <v>46215</v>
      </c>
      <c r="C256" s="1" t="s">
        <v>52</v>
      </c>
      <c r="D256" s="1" t="s">
        <v>2</v>
      </c>
      <c r="E256" s="1" t="s">
        <v>10</v>
      </c>
      <c r="F256" s="1" t="s">
        <v>22</v>
      </c>
      <c r="G256" s="1" t="s">
        <v>55</v>
      </c>
      <c r="H256" s="1" t="s">
        <v>24</v>
      </c>
      <c r="I256" s="1">
        <v>41</v>
      </c>
      <c r="J256" s="3">
        <v>37400</v>
      </c>
      <c r="K256" s="3">
        <f>Tbl_Datos[[#This Row],[Unidades]]*Tbl_Datos[[#This Row],[Precio Unitario]]</f>
        <v>1533400</v>
      </c>
      <c r="L256" s="3" cm="1">
        <f t="array" ref="L256">_xlfn.IFS(F256="Camas",J256*68%,F256="Comederos",J256*60%,F256="Higiene",J256*55%,F256="Juguetes",J256*62%,F256="Transporte",J256*72%)</f>
        <v>26928</v>
      </c>
      <c r="M256" s="3">
        <f t="shared" si="9"/>
        <v>1104048</v>
      </c>
      <c r="N256" s="3">
        <f t="shared" si="10"/>
        <v>429352</v>
      </c>
      <c r="O256" s="16">
        <f t="shared" si="11"/>
        <v>0.28000000000000003</v>
      </c>
    </row>
    <row r="257" spans="1:15" x14ac:dyDescent="0.25">
      <c r="A257" s="1" t="s">
        <v>301</v>
      </c>
      <c r="B257" s="5">
        <v>46099</v>
      </c>
      <c r="C257" s="1" t="s">
        <v>26</v>
      </c>
      <c r="D257" s="1" t="s">
        <v>15</v>
      </c>
      <c r="E257" s="1" t="s">
        <v>10</v>
      </c>
      <c r="F257" s="1" t="s">
        <v>42</v>
      </c>
      <c r="G257" s="1" t="s">
        <v>43</v>
      </c>
      <c r="H257" s="1" t="s">
        <v>19</v>
      </c>
      <c r="I257" s="1">
        <v>7</v>
      </c>
      <c r="J257" s="3">
        <v>14200</v>
      </c>
      <c r="K257" s="3">
        <f>Tbl_Datos[[#This Row],[Unidades]]*Tbl_Datos[[#This Row],[Precio Unitario]]</f>
        <v>99400</v>
      </c>
      <c r="L257" s="3" cm="1">
        <f t="array" ref="L257">_xlfn.IFS(F257="Camas",J257*68%,F257="Comederos",J257*60%,F257="Higiene",J257*55%,F257="Juguetes",J257*62%,F257="Transporte",J257*72%)</f>
        <v>7810.0000000000009</v>
      </c>
      <c r="M257" s="3">
        <f t="shared" si="9"/>
        <v>54670.000000000007</v>
      </c>
      <c r="N257" s="3">
        <f t="shared" si="10"/>
        <v>44729.999999999993</v>
      </c>
      <c r="O257" s="16">
        <f t="shared" si="11"/>
        <v>0.4499999999999999</v>
      </c>
    </row>
    <row r="258" spans="1:15" x14ac:dyDescent="0.25">
      <c r="A258" s="1" t="s">
        <v>302</v>
      </c>
      <c r="B258" s="5">
        <v>46210</v>
      </c>
      <c r="C258" s="1" t="s">
        <v>52</v>
      </c>
      <c r="D258" s="1" t="s">
        <v>21</v>
      </c>
      <c r="E258" s="1" t="s">
        <v>53</v>
      </c>
      <c r="F258" s="1" t="s">
        <v>22</v>
      </c>
      <c r="G258" s="1" t="s">
        <v>40</v>
      </c>
      <c r="H258" s="1" t="s">
        <v>6</v>
      </c>
      <c r="I258" s="1">
        <v>34</v>
      </c>
      <c r="J258" s="3">
        <v>27600</v>
      </c>
      <c r="K258" s="3">
        <f>Tbl_Datos[[#This Row],[Unidades]]*Tbl_Datos[[#This Row],[Precio Unitario]]</f>
        <v>938400</v>
      </c>
      <c r="L258" s="3" cm="1">
        <f t="array" ref="L258">_xlfn.IFS(F258="Camas",J258*68%,F258="Comederos",J258*60%,F258="Higiene",J258*55%,F258="Juguetes",J258*62%,F258="Transporte",J258*72%)</f>
        <v>19872</v>
      </c>
      <c r="M258" s="3">
        <f t="shared" ref="M258:M321" si="12">I258*L258</f>
        <v>675648</v>
      </c>
      <c r="N258" s="3">
        <f t="shared" ref="N258:N321" si="13">K258-M258</f>
        <v>262752</v>
      </c>
      <c r="O258" s="16">
        <f t="shared" ref="O258:O321" si="14">N258/K258</f>
        <v>0.28000000000000003</v>
      </c>
    </row>
    <row r="259" spans="1:15" x14ac:dyDescent="0.25">
      <c r="A259" s="1" t="s">
        <v>303</v>
      </c>
      <c r="B259" s="5">
        <v>46128</v>
      </c>
      <c r="C259" s="1" t="s">
        <v>47</v>
      </c>
      <c r="D259" s="1" t="s">
        <v>9</v>
      </c>
      <c r="E259" s="1" t="s">
        <v>36</v>
      </c>
      <c r="F259" s="1" t="s">
        <v>4</v>
      </c>
      <c r="G259" s="1" t="s">
        <v>71</v>
      </c>
      <c r="H259" s="1" t="s">
        <v>6</v>
      </c>
      <c r="I259" s="1">
        <v>47</v>
      </c>
      <c r="J259" s="3">
        <v>15900</v>
      </c>
      <c r="K259" s="3">
        <f>Tbl_Datos[[#This Row],[Unidades]]*Tbl_Datos[[#This Row],[Precio Unitario]]</f>
        <v>747300</v>
      </c>
      <c r="L259" s="3" cm="1">
        <f t="array" ref="L259">_xlfn.IFS(F259="Camas",J259*68%,F259="Comederos",J259*60%,F259="Higiene",J259*55%,F259="Juguetes",J259*62%,F259="Transporte",J259*72%)</f>
        <v>9540</v>
      </c>
      <c r="M259" s="3">
        <f t="shared" si="12"/>
        <v>448380</v>
      </c>
      <c r="N259" s="3">
        <f t="shared" si="13"/>
        <v>298920</v>
      </c>
      <c r="O259" s="16">
        <f t="shared" si="14"/>
        <v>0.4</v>
      </c>
    </row>
    <row r="260" spans="1:15" x14ac:dyDescent="0.25">
      <c r="A260" s="1" t="s">
        <v>304</v>
      </c>
      <c r="B260" s="5">
        <v>46070</v>
      </c>
      <c r="C260" s="1" t="s">
        <v>1</v>
      </c>
      <c r="D260" s="1" t="s">
        <v>9</v>
      </c>
      <c r="E260" s="1" t="s">
        <v>3</v>
      </c>
      <c r="F260" s="1" t="s">
        <v>4</v>
      </c>
      <c r="G260" s="1" t="s">
        <v>38</v>
      </c>
      <c r="H260" s="1" t="s">
        <v>19</v>
      </c>
      <c r="I260" s="1">
        <v>50</v>
      </c>
      <c r="J260" s="3">
        <v>7800</v>
      </c>
      <c r="K260" s="3">
        <f>Tbl_Datos[[#This Row],[Unidades]]*Tbl_Datos[[#This Row],[Precio Unitario]]</f>
        <v>390000</v>
      </c>
      <c r="L260" s="3" cm="1">
        <f t="array" ref="L260">_xlfn.IFS(F260="Camas",J260*68%,F260="Comederos",J260*60%,F260="Higiene",J260*55%,F260="Juguetes",J260*62%,F260="Transporte",J260*72%)</f>
        <v>4680</v>
      </c>
      <c r="M260" s="3">
        <f t="shared" si="12"/>
        <v>234000</v>
      </c>
      <c r="N260" s="3">
        <f t="shared" si="13"/>
        <v>156000</v>
      </c>
      <c r="O260" s="16">
        <f t="shared" si="14"/>
        <v>0.4</v>
      </c>
    </row>
    <row r="261" spans="1:15" x14ac:dyDescent="0.25">
      <c r="A261" s="1" t="s">
        <v>305</v>
      </c>
      <c r="B261" s="5">
        <v>46066</v>
      </c>
      <c r="C261" s="1" t="s">
        <v>1</v>
      </c>
      <c r="D261" s="1" t="s">
        <v>9</v>
      </c>
      <c r="E261" s="1" t="s">
        <v>53</v>
      </c>
      <c r="F261" s="1" t="s">
        <v>17</v>
      </c>
      <c r="G261" s="1" t="s">
        <v>18</v>
      </c>
      <c r="H261" s="1" t="s">
        <v>19</v>
      </c>
      <c r="I261" s="1">
        <v>50</v>
      </c>
      <c r="J261" s="3">
        <v>3100</v>
      </c>
      <c r="K261" s="3">
        <f>Tbl_Datos[[#This Row],[Unidades]]*Tbl_Datos[[#This Row],[Precio Unitario]]</f>
        <v>155000</v>
      </c>
      <c r="L261" s="3" cm="1">
        <f t="array" ref="L261">_xlfn.IFS(F261="Camas",J261*68%,F261="Comederos",J261*60%,F261="Higiene",J261*55%,F261="Juguetes",J261*62%,F261="Transporte",J261*72%)</f>
        <v>1922</v>
      </c>
      <c r="M261" s="3">
        <f t="shared" si="12"/>
        <v>96100</v>
      </c>
      <c r="N261" s="3">
        <f t="shared" si="13"/>
        <v>58900</v>
      </c>
      <c r="O261" s="16">
        <f t="shared" si="14"/>
        <v>0.38</v>
      </c>
    </row>
    <row r="262" spans="1:15" x14ac:dyDescent="0.25">
      <c r="A262" s="1" t="s">
        <v>306</v>
      </c>
      <c r="B262" s="5">
        <v>46177</v>
      </c>
      <c r="C262" s="1" t="s">
        <v>45</v>
      </c>
      <c r="D262" s="1" t="s">
        <v>33</v>
      </c>
      <c r="E262" s="1" t="s">
        <v>3</v>
      </c>
      <c r="F262" s="1" t="s">
        <v>42</v>
      </c>
      <c r="G262" s="1" t="s">
        <v>125</v>
      </c>
      <c r="H262" s="1" t="s">
        <v>24</v>
      </c>
      <c r="I262" s="1">
        <v>59</v>
      </c>
      <c r="J262" s="3">
        <v>7900</v>
      </c>
      <c r="K262" s="3">
        <f>Tbl_Datos[[#This Row],[Unidades]]*Tbl_Datos[[#This Row],[Precio Unitario]]</f>
        <v>466100</v>
      </c>
      <c r="L262" s="3" cm="1">
        <f t="array" ref="L262">_xlfn.IFS(F262="Camas",J262*68%,F262="Comederos",J262*60%,F262="Higiene",J262*55%,F262="Juguetes",J262*62%,F262="Transporte",J262*72%)</f>
        <v>4345</v>
      </c>
      <c r="M262" s="3">
        <f t="shared" si="12"/>
        <v>256355</v>
      </c>
      <c r="N262" s="3">
        <f t="shared" si="13"/>
        <v>209745</v>
      </c>
      <c r="O262" s="16">
        <f t="shared" si="14"/>
        <v>0.45</v>
      </c>
    </row>
    <row r="263" spans="1:15" x14ac:dyDescent="0.25">
      <c r="A263" s="1" t="s">
        <v>307</v>
      </c>
      <c r="B263" s="5">
        <v>46049</v>
      </c>
      <c r="C263" s="1" t="s">
        <v>32</v>
      </c>
      <c r="D263" s="1" t="s">
        <v>9</v>
      </c>
      <c r="E263" s="1" t="s">
        <v>16</v>
      </c>
      <c r="F263" s="1" t="s">
        <v>4</v>
      </c>
      <c r="G263" s="1" t="s">
        <v>5</v>
      </c>
      <c r="H263" s="1" t="s">
        <v>19</v>
      </c>
      <c r="I263" s="1">
        <v>35</v>
      </c>
      <c r="J263" s="3">
        <v>6100</v>
      </c>
      <c r="K263" s="3">
        <f>Tbl_Datos[[#This Row],[Unidades]]*Tbl_Datos[[#This Row],[Precio Unitario]]</f>
        <v>213500</v>
      </c>
      <c r="L263" s="3" cm="1">
        <f t="array" ref="L263">_xlfn.IFS(F263="Camas",J263*68%,F263="Comederos",J263*60%,F263="Higiene",J263*55%,F263="Juguetes",J263*62%,F263="Transporte",J263*72%)</f>
        <v>3660</v>
      </c>
      <c r="M263" s="3">
        <f t="shared" si="12"/>
        <v>128100</v>
      </c>
      <c r="N263" s="3">
        <f t="shared" si="13"/>
        <v>85400</v>
      </c>
      <c r="O263" s="16">
        <f t="shared" si="14"/>
        <v>0.4</v>
      </c>
    </row>
    <row r="264" spans="1:15" x14ac:dyDescent="0.25">
      <c r="A264" s="1" t="s">
        <v>308</v>
      </c>
      <c r="B264" s="5">
        <v>46039</v>
      </c>
      <c r="C264" s="1" t="s">
        <v>32</v>
      </c>
      <c r="D264" s="1" t="s">
        <v>2</v>
      </c>
      <c r="E264" s="1" t="s">
        <v>16</v>
      </c>
      <c r="F264" s="1" t="s">
        <v>11</v>
      </c>
      <c r="G264" s="1" t="s">
        <v>144</v>
      </c>
      <c r="H264" s="1" t="s">
        <v>19</v>
      </c>
      <c r="I264" s="1">
        <v>45</v>
      </c>
      <c r="J264" s="3">
        <v>21700</v>
      </c>
      <c r="K264" s="3">
        <f>Tbl_Datos[[#This Row],[Unidades]]*Tbl_Datos[[#This Row],[Precio Unitario]]</f>
        <v>976500</v>
      </c>
      <c r="L264" s="3" cm="1">
        <f t="array" ref="L264">_xlfn.IFS(F264="Camas",J264*68%,F264="Comederos",J264*60%,F264="Higiene",J264*55%,F264="Juguetes",J264*62%,F264="Transporte",J264*72%)</f>
        <v>14756.000000000002</v>
      </c>
      <c r="M264" s="3">
        <f t="shared" si="12"/>
        <v>664020.00000000012</v>
      </c>
      <c r="N264" s="3">
        <f t="shared" si="13"/>
        <v>312479.99999999988</v>
      </c>
      <c r="O264" s="16">
        <f t="shared" si="14"/>
        <v>0.3199999999999999</v>
      </c>
    </row>
    <row r="265" spans="1:15" x14ac:dyDescent="0.25">
      <c r="A265" s="1" t="s">
        <v>309</v>
      </c>
      <c r="B265" s="5">
        <v>46116</v>
      </c>
      <c r="C265" s="1" t="s">
        <v>47</v>
      </c>
      <c r="D265" s="1" t="s">
        <v>2</v>
      </c>
      <c r="E265" s="1" t="s">
        <v>3</v>
      </c>
      <c r="F265" s="1" t="s">
        <v>17</v>
      </c>
      <c r="G265" s="1" t="s">
        <v>74</v>
      </c>
      <c r="H265" s="1" t="s">
        <v>19</v>
      </c>
      <c r="I265" s="1">
        <v>5</v>
      </c>
      <c r="J265" s="3">
        <v>10500</v>
      </c>
      <c r="K265" s="3">
        <f>Tbl_Datos[[#This Row],[Unidades]]*Tbl_Datos[[#This Row],[Precio Unitario]]</f>
        <v>52500</v>
      </c>
      <c r="L265" s="3" cm="1">
        <f t="array" ref="L265">_xlfn.IFS(F265="Camas",J265*68%,F265="Comederos",J265*60%,F265="Higiene",J265*55%,F265="Juguetes",J265*62%,F265="Transporte",J265*72%)</f>
        <v>6510</v>
      </c>
      <c r="M265" s="3">
        <f t="shared" si="12"/>
        <v>32550</v>
      </c>
      <c r="N265" s="3">
        <f t="shared" si="13"/>
        <v>19950</v>
      </c>
      <c r="O265" s="16">
        <f t="shared" si="14"/>
        <v>0.38</v>
      </c>
    </row>
    <row r="266" spans="1:15" x14ac:dyDescent="0.25">
      <c r="A266" s="1" t="s">
        <v>310</v>
      </c>
      <c r="B266" s="5">
        <v>46102</v>
      </c>
      <c r="C266" s="1" t="s">
        <v>26</v>
      </c>
      <c r="D266" s="1" t="s">
        <v>9</v>
      </c>
      <c r="E266" s="1" t="s">
        <v>16</v>
      </c>
      <c r="F266" s="1" t="s">
        <v>17</v>
      </c>
      <c r="G266" s="1" t="s">
        <v>58</v>
      </c>
      <c r="H266" s="1" t="s">
        <v>24</v>
      </c>
      <c r="I266" s="1">
        <v>47</v>
      </c>
      <c r="J266" s="3">
        <v>4200</v>
      </c>
      <c r="K266" s="3">
        <f>Tbl_Datos[[#This Row],[Unidades]]*Tbl_Datos[[#This Row],[Precio Unitario]]</f>
        <v>197400</v>
      </c>
      <c r="L266" s="3" cm="1">
        <f t="array" ref="L266">_xlfn.IFS(F266="Camas",J266*68%,F266="Comederos",J266*60%,F266="Higiene",J266*55%,F266="Juguetes",J266*62%,F266="Transporte",J266*72%)</f>
        <v>2604</v>
      </c>
      <c r="M266" s="3">
        <f t="shared" si="12"/>
        <v>122388</v>
      </c>
      <c r="N266" s="3">
        <f t="shared" si="13"/>
        <v>75012</v>
      </c>
      <c r="O266" s="16">
        <f t="shared" si="14"/>
        <v>0.38</v>
      </c>
    </row>
    <row r="267" spans="1:15" x14ac:dyDescent="0.25">
      <c r="A267" s="1" t="s">
        <v>311</v>
      </c>
      <c r="B267" s="5">
        <v>46109</v>
      </c>
      <c r="C267" s="1" t="s">
        <v>26</v>
      </c>
      <c r="D267" s="1" t="s">
        <v>2</v>
      </c>
      <c r="E267" s="1" t="s">
        <v>16</v>
      </c>
      <c r="F267" s="1" t="s">
        <v>42</v>
      </c>
      <c r="G267" s="1" t="s">
        <v>49</v>
      </c>
      <c r="H267" s="1" t="s">
        <v>19</v>
      </c>
      <c r="I267" s="1">
        <v>24</v>
      </c>
      <c r="J267" s="3">
        <v>3500</v>
      </c>
      <c r="K267" s="3">
        <f>Tbl_Datos[[#This Row],[Unidades]]*Tbl_Datos[[#This Row],[Precio Unitario]]</f>
        <v>84000</v>
      </c>
      <c r="L267" s="3" cm="1">
        <f t="array" ref="L267">_xlfn.IFS(F267="Camas",J267*68%,F267="Comederos",J267*60%,F267="Higiene",J267*55%,F267="Juguetes",J267*62%,F267="Transporte",J267*72%)</f>
        <v>1925.0000000000002</v>
      </c>
      <c r="M267" s="3">
        <f t="shared" si="12"/>
        <v>46200.000000000007</v>
      </c>
      <c r="N267" s="3">
        <f t="shared" si="13"/>
        <v>37799.999999999993</v>
      </c>
      <c r="O267" s="16">
        <f t="shared" si="14"/>
        <v>0.4499999999999999</v>
      </c>
    </row>
    <row r="268" spans="1:15" x14ac:dyDescent="0.25">
      <c r="A268" s="1" t="s">
        <v>312</v>
      </c>
      <c r="B268" s="5">
        <v>46087</v>
      </c>
      <c r="C268" s="1" t="s">
        <v>26</v>
      </c>
      <c r="D268" s="1" t="s">
        <v>27</v>
      </c>
      <c r="E268" s="1" t="s">
        <v>3</v>
      </c>
      <c r="F268" s="1" t="s">
        <v>4</v>
      </c>
      <c r="G268" s="1" t="s">
        <v>34</v>
      </c>
      <c r="H268" s="1" t="s">
        <v>19</v>
      </c>
      <c r="I268" s="1">
        <v>15</v>
      </c>
      <c r="J268" s="3">
        <v>3900</v>
      </c>
      <c r="K268" s="3">
        <f>Tbl_Datos[[#This Row],[Unidades]]*Tbl_Datos[[#This Row],[Precio Unitario]]</f>
        <v>58500</v>
      </c>
      <c r="L268" s="3" cm="1">
        <f t="array" ref="L268">_xlfn.IFS(F268="Camas",J268*68%,F268="Comederos",J268*60%,F268="Higiene",J268*55%,F268="Juguetes",J268*62%,F268="Transporte",J268*72%)</f>
        <v>2340</v>
      </c>
      <c r="M268" s="3">
        <f t="shared" si="12"/>
        <v>35100</v>
      </c>
      <c r="N268" s="3">
        <f t="shared" si="13"/>
        <v>23400</v>
      </c>
      <c r="O268" s="16">
        <f t="shared" si="14"/>
        <v>0.4</v>
      </c>
    </row>
    <row r="269" spans="1:15" x14ac:dyDescent="0.25">
      <c r="A269" s="1" t="s">
        <v>313</v>
      </c>
      <c r="B269" s="5">
        <v>46201</v>
      </c>
      <c r="C269" s="1" t="s">
        <v>45</v>
      </c>
      <c r="D269" s="1" t="s">
        <v>9</v>
      </c>
      <c r="E269" s="1" t="s">
        <v>16</v>
      </c>
      <c r="F269" s="1" t="s">
        <v>4</v>
      </c>
      <c r="G269" s="1" t="s">
        <v>34</v>
      </c>
      <c r="H269" s="1" t="s">
        <v>19</v>
      </c>
      <c r="I269" s="1">
        <v>26</v>
      </c>
      <c r="J269" s="3">
        <v>3700</v>
      </c>
      <c r="K269" s="3">
        <f>Tbl_Datos[[#This Row],[Unidades]]*Tbl_Datos[[#This Row],[Precio Unitario]]</f>
        <v>96200</v>
      </c>
      <c r="L269" s="3" cm="1">
        <f t="array" ref="L269">_xlfn.IFS(F269="Camas",J269*68%,F269="Comederos",J269*60%,F269="Higiene",J269*55%,F269="Juguetes",J269*62%,F269="Transporte",J269*72%)</f>
        <v>2220</v>
      </c>
      <c r="M269" s="3">
        <f t="shared" si="12"/>
        <v>57720</v>
      </c>
      <c r="N269" s="3">
        <f t="shared" si="13"/>
        <v>38480</v>
      </c>
      <c r="O269" s="16">
        <f t="shared" si="14"/>
        <v>0.4</v>
      </c>
    </row>
    <row r="270" spans="1:15" x14ac:dyDescent="0.25">
      <c r="A270" s="1" t="s">
        <v>314</v>
      </c>
      <c r="B270" s="5">
        <v>46058</v>
      </c>
      <c r="C270" s="1" t="s">
        <v>1</v>
      </c>
      <c r="D270" s="1" t="s">
        <v>21</v>
      </c>
      <c r="E270" s="1" t="s">
        <v>3</v>
      </c>
      <c r="F270" s="1" t="s">
        <v>4</v>
      </c>
      <c r="G270" s="1" t="s">
        <v>34</v>
      </c>
      <c r="H270" s="1" t="s">
        <v>24</v>
      </c>
      <c r="I270" s="1">
        <v>53</v>
      </c>
      <c r="J270" s="3">
        <v>4000</v>
      </c>
      <c r="K270" s="3">
        <f>Tbl_Datos[[#This Row],[Unidades]]*Tbl_Datos[[#This Row],[Precio Unitario]]</f>
        <v>212000</v>
      </c>
      <c r="L270" s="3" cm="1">
        <f t="array" ref="L270">_xlfn.IFS(F270="Camas",J270*68%,F270="Comederos",J270*60%,F270="Higiene",J270*55%,F270="Juguetes",J270*62%,F270="Transporte",J270*72%)</f>
        <v>2400</v>
      </c>
      <c r="M270" s="3">
        <f t="shared" si="12"/>
        <v>127200</v>
      </c>
      <c r="N270" s="3">
        <f t="shared" si="13"/>
        <v>84800</v>
      </c>
      <c r="O270" s="16">
        <f t="shared" si="14"/>
        <v>0.4</v>
      </c>
    </row>
    <row r="271" spans="1:15" x14ac:dyDescent="0.25">
      <c r="A271" s="1" t="s">
        <v>315</v>
      </c>
      <c r="B271" s="5">
        <v>46129</v>
      </c>
      <c r="C271" s="1" t="s">
        <v>47</v>
      </c>
      <c r="D271" s="1" t="s">
        <v>27</v>
      </c>
      <c r="E271" s="1" t="s">
        <v>10</v>
      </c>
      <c r="F271" s="1" t="s">
        <v>22</v>
      </c>
      <c r="G271" s="1" t="s">
        <v>40</v>
      </c>
      <c r="H271" s="1" t="s">
        <v>24</v>
      </c>
      <c r="I271" s="1">
        <v>39</v>
      </c>
      <c r="J271" s="3">
        <v>29200</v>
      </c>
      <c r="K271" s="3">
        <f>Tbl_Datos[[#This Row],[Unidades]]*Tbl_Datos[[#This Row],[Precio Unitario]]</f>
        <v>1138800</v>
      </c>
      <c r="L271" s="3" cm="1">
        <f t="array" ref="L271">_xlfn.IFS(F271="Camas",J271*68%,F271="Comederos",J271*60%,F271="Higiene",J271*55%,F271="Juguetes",J271*62%,F271="Transporte",J271*72%)</f>
        <v>21024</v>
      </c>
      <c r="M271" s="3">
        <f t="shared" si="12"/>
        <v>819936</v>
      </c>
      <c r="N271" s="3">
        <f t="shared" si="13"/>
        <v>318864</v>
      </c>
      <c r="O271" s="16">
        <f t="shared" si="14"/>
        <v>0.28000000000000003</v>
      </c>
    </row>
    <row r="272" spans="1:15" x14ac:dyDescent="0.25">
      <c r="A272" s="1" t="s">
        <v>316</v>
      </c>
      <c r="B272" s="5">
        <v>46078</v>
      </c>
      <c r="C272" s="1" t="s">
        <v>1</v>
      </c>
      <c r="D272" s="1" t="s">
        <v>21</v>
      </c>
      <c r="E272" s="1" t="s">
        <v>16</v>
      </c>
      <c r="F272" s="1" t="s">
        <v>22</v>
      </c>
      <c r="G272" s="1" t="s">
        <v>40</v>
      </c>
      <c r="H272" s="1" t="s">
        <v>6</v>
      </c>
      <c r="I272" s="1">
        <v>8</v>
      </c>
      <c r="J272" s="3">
        <v>30700</v>
      </c>
      <c r="K272" s="3">
        <f>Tbl_Datos[[#This Row],[Unidades]]*Tbl_Datos[[#This Row],[Precio Unitario]]</f>
        <v>245600</v>
      </c>
      <c r="L272" s="3" cm="1">
        <f t="array" ref="L272">_xlfn.IFS(F272="Camas",J272*68%,F272="Comederos",J272*60%,F272="Higiene",J272*55%,F272="Juguetes",J272*62%,F272="Transporte",J272*72%)</f>
        <v>22104</v>
      </c>
      <c r="M272" s="3">
        <f t="shared" si="12"/>
        <v>176832</v>
      </c>
      <c r="N272" s="3">
        <f t="shared" si="13"/>
        <v>68768</v>
      </c>
      <c r="O272" s="16">
        <f t="shared" si="14"/>
        <v>0.28000000000000003</v>
      </c>
    </row>
    <row r="273" spans="1:15" x14ac:dyDescent="0.25">
      <c r="A273" s="1" t="s">
        <v>317</v>
      </c>
      <c r="B273" s="5">
        <v>46132</v>
      </c>
      <c r="C273" s="1" t="s">
        <v>47</v>
      </c>
      <c r="D273" s="1" t="s">
        <v>21</v>
      </c>
      <c r="E273" s="1" t="s">
        <v>16</v>
      </c>
      <c r="F273" s="1" t="s">
        <v>42</v>
      </c>
      <c r="G273" s="1" t="s">
        <v>43</v>
      </c>
      <c r="H273" s="1" t="s">
        <v>19</v>
      </c>
      <c r="I273" s="1">
        <v>28</v>
      </c>
      <c r="J273" s="3">
        <v>13400</v>
      </c>
      <c r="K273" s="3">
        <f>Tbl_Datos[[#This Row],[Unidades]]*Tbl_Datos[[#This Row],[Precio Unitario]]</f>
        <v>375200</v>
      </c>
      <c r="L273" s="3" cm="1">
        <f t="array" ref="L273">_xlfn.IFS(F273="Camas",J273*68%,F273="Comederos",J273*60%,F273="Higiene",J273*55%,F273="Juguetes",J273*62%,F273="Transporte",J273*72%)</f>
        <v>7370.0000000000009</v>
      </c>
      <c r="M273" s="3">
        <f t="shared" si="12"/>
        <v>206360.00000000003</v>
      </c>
      <c r="N273" s="3">
        <f t="shared" si="13"/>
        <v>168839.99999999997</v>
      </c>
      <c r="O273" s="16">
        <f t="shared" si="14"/>
        <v>0.4499999999999999</v>
      </c>
    </row>
    <row r="274" spans="1:15" x14ac:dyDescent="0.25">
      <c r="A274" s="1" t="s">
        <v>318</v>
      </c>
      <c r="B274" s="5">
        <v>46201</v>
      </c>
      <c r="C274" s="1" t="s">
        <v>45</v>
      </c>
      <c r="D274" s="1" t="s">
        <v>21</v>
      </c>
      <c r="E274" s="1" t="s">
        <v>16</v>
      </c>
      <c r="F274" s="1" t="s">
        <v>42</v>
      </c>
      <c r="G274" s="1" t="s">
        <v>49</v>
      </c>
      <c r="H274" s="1" t="s">
        <v>6</v>
      </c>
      <c r="I274" s="1">
        <v>38</v>
      </c>
      <c r="J274" s="3">
        <v>3500</v>
      </c>
      <c r="K274" s="3">
        <f>Tbl_Datos[[#This Row],[Unidades]]*Tbl_Datos[[#This Row],[Precio Unitario]]</f>
        <v>133000</v>
      </c>
      <c r="L274" s="3" cm="1">
        <f t="array" ref="L274">_xlfn.IFS(F274="Camas",J274*68%,F274="Comederos",J274*60%,F274="Higiene",J274*55%,F274="Juguetes",J274*62%,F274="Transporte",J274*72%)</f>
        <v>1925.0000000000002</v>
      </c>
      <c r="M274" s="3">
        <f t="shared" si="12"/>
        <v>73150.000000000015</v>
      </c>
      <c r="N274" s="3">
        <f t="shared" si="13"/>
        <v>59849.999999999985</v>
      </c>
      <c r="O274" s="16">
        <f t="shared" si="14"/>
        <v>0.4499999999999999</v>
      </c>
    </row>
    <row r="275" spans="1:15" x14ac:dyDescent="0.25">
      <c r="A275" s="1" t="s">
        <v>319</v>
      </c>
      <c r="B275" s="5">
        <v>46207</v>
      </c>
      <c r="C275" s="1" t="s">
        <v>52</v>
      </c>
      <c r="D275" s="1" t="s">
        <v>21</v>
      </c>
      <c r="E275" s="1" t="s">
        <v>53</v>
      </c>
      <c r="F275" s="1" t="s">
        <v>11</v>
      </c>
      <c r="G275" s="1" t="s">
        <v>28</v>
      </c>
      <c r="H275" s="1" t="s">
        <v>6</v>
      </c>
      <c r="I275" s="1">
        <v>20</v>
      </c>
      <c r="J275" s="3">
        <v>15300</v>
      </c>
      <c r="K275" s="3">
        <f>Tbl_Datos[[#This Row],[Unidades]]*Tbl_Datos[[#This Row],[Precio Unitario]]</f>
        <v>306000</v>
      </c>
      <c r="L275" s="3" cm="1">
        <f t="array" ref="L275">_xlfn.IFS(F275="Camas",J275*68%,F275="Comederos",J275*60%,F275="Higiene",J275*55%,F275="Juguetes",J275*62%,F275="Transporte",J275*72%)</f>
        <v>10404</v>
      </c>
      <c r="M275" s="3">
        <f t="shared" si="12"/>
        <v>208080</v>
      </c>
      <c r="N275" s="3">
        <f t="shared" si="13"/>
        <v>97920</v>
      </c>
      <c r="O275" s="16">
        <f t="shared" si="14"/>
        <v>0.32</v>
      </c>
    </row>
    <row r="276" spans="1:15" x14ac:dyDescent="0.25">
      <c r="A276" s="1" t="s">
        <v>320</v>
      </c>
      <c r="B276" s="5">
        <v>46092</v>
      </c>
      <c r="C276" s="1" t="s">
        <v>26</v>
      </c>
      <c r="D276" s="1" t="s">
        <v>15</v>
      </c>
      <c r="E276" s="1" t="s">
        <v>53</v>
      </c>
      <c r="F276" s="1" t="s">
        <v>17</v>
      </c>
      <c r="G276" s="1" t="s">
        <v>18</v>
      </c>
      <c r="H276" s="1" t="s">
        <v>19</v>
      </c>
      <c r="I276" s="1">
        <v>18</v>
      </c>
      <c r="J276" s="3">
        <v>3000</v>
      </c>
      <c r="K276" s="3">
        <f>Tbl_Datos[[#This Row],[Unidades]]*Tbl_Datos[[#This Row],[Precio Unitario]]</f>
        <v>54000</v>
      </c>
      <c r="L276" s="3" cm="1">
        <f t="array" ref="L276">_xlfn.IFS(F276="Camas",J276*68%,F276="Comederos",J276*60%,F276="Higiene",J276*55%,F276="Juguetes",J276*62%,F276="Transporte",J276*72%)</f>
        <v>1860</v>
      </c>
      <c r="M276" s="3">
        <f t="shared" si="12"/>
        <v>33480</v>
      </c>
      <c r="N276" s="3">
        <f t="shared" si="13"/>
        <v>20520</v>
      </c>
      <c r="O276" s="16">
        <f t="shared" si="14"/>
        <v>0.38</v>
      </c>
    </row>
    <row r="277" spans="1:15" x14ac:dyDescent="0.25">
      <c r="A277" s="1" t="s">
        <v>321</v>
      </c>
      <c r="B277" s="5">
        <v>46183</v>
      </c>
      <c r="C277" s="1" t="s">
        <v>45</v>
      </c>
      <c r="D277" s="1" t="s">
        <v>27</v>
      </c>
      <c r="E277" s="1" t="s">
        <v>36</v>
      </c>
      <c r="F277" s="1" t="s">
        <v>11</v>
      </c>
      <c r="G277" s="1" t="s">
        <v>144</v>
      </c>
      <c r="H277" s="1" t="s">
        <v>6</v>
      </c>
      <c r="I277" s="1">
        <v>27</v>
      </c>
      <c r="J277" s="3">
        <v>23500</v>
      </c>
      <c r="K277" s="3">
        <f>Tbl_Datos[[#This Row],[Unidades]]*Tbl_Datos[[#This Row],[Precio Unitario]]</f>
        <v>634500</v>
      </c>
      <c r="L277" s="3" cm="1">
        <f t="array" ref="L277">_xlfn.IFS(F277="Camas",J277*68%,F277="Comederos",J277*60%,F277="Higiene",J277*55%,F277="Juguetes",J277*62%,F277="Transporte",J277*72%)</f>
        <v>15980.000000000002</v>
      </c>
      <c r="M277" s="3">
        <f t="shared" si="12"/>
        <v>431460.00000000006</v>
      </c>
      <c r="N277" s="3">
        <f t="shared" si="13"/>
        <v>203039.99999999994</v>
      </c>
      <c r="O277" s="16">
        <f t="shared" si="14"/>
        <v>0.3199999999999999</v>
      </c>
    </row>
    <row r="278" spans="1:15" x14ac:dyDescent="0.25">
      <c r="A278" s="1" t="s">
        <v>322</v>
      </c>
      <c r="B278" s="5">
        <v>46198</v>
      </c>
      <c r="C278" s="1" t="s">
        <v>45</v>
      </c>
      <c r="D278" s="1" t="s">
        <v>9</v>
      </c>
      <c r="E278" s="1" t="s">
        <v>53</v>
      </c>
      <c r="F278" s="1" t="s">
        <v>11</v>
      </c>
      <c r="G278" s="1" t="s">
        <v>28</v>
      </c>
      <c r="H278" s="1" t="s">
        <v>24</v>
      </c>
      <c r="I278" s="1">
        <v>33</v>
      </c>
      <c r="J278" s="3">
        <v>15000</v>
      </c>
      <c r="K278" s="3">
        <f>Tbl_Datos[[#This Row],[Unidades]]*Tbl_Datos[[#This Row],[Precio Unitario]]</f>
        <v>495000</v>
      </c>
      <c r="L278" s="3" cm="1">
        <f t="array" ref="L278">_xlfn.IFS(F278="Camas",J278*68%,F278="Comederos",J278*60%,F278="Higiene",J278*55%,F278="Juguetes",J278*62%,F278="Transporte",J278*72%)</f>
        <v>10200</v>
      </c>
      <c r="M278" s="3">
        <f t="shared" si="12"/>
        <v>336600</v>
      </c>
      <c r="N278" s="3">
        <f t="shared" si="13"/>
        <v>158400</v>
      </c>
      <c r="O278" s="16">
        <f t="shared" si="14"/>
        <v>0.32</v>
      </c>
    </row>
    <row r="279" spans="1:15" x14ac:dyDescent="0.25">
      <c r="A279" s="1" t="s">
        <v>323</v>
      </c>
      <c r="B279" s="5">
        <v>46224</v>
      </c>
      <c r="C279" s="1" t="s">
        <v>52</v>
      </c>
      <c r="D279" s="1" t="s">
        <v>27</v>
      </c>
      <c r="E279" s="1" t="s">
        <v>3</v>
      </c>
      <c r="F279" s="1" t="s">
        <v>42</v>
      </c>
      <c r="G279" s="1" t="s">
        <v>49</v>
      </c>
      <c r="H279" s="1" t="s">
        <v>6</v>
      </c>
      <c r="I279" s="1">
        <v>18</v>
      </c>
      <c r="J279" s="3">
        <v>3600</v>
      </c>
      <c r="K279" s="3">
        <f>Tbl_Datos[[#This Row],[Unidades]]*Tbl_Datos[[#This Row],[Precio Unitario]]</f>
        <v>64800</v>
      </c>
      <c r="L279" s="3" cm="1">
        <f t="array" ref="L279">_xlfn.IFS(F279="Camas",J279*68%,F279="Comederos",J279*60%,F279="Higiene",J279*55%,F279="Juguetes",J279*62%,F279="Transporte",J279*72%)</f>
        <v>1980.0000000000002</v>
      </c>
      <c r="M279" s="3">
        <f t="shared" si="12"/>
        <v>35640.000000000007</v>
      </c>
      <c r="N279" s="3">
        <f t="shared" si="13"/>
        <v>29159.999999999993</v>
      </c>
      <c r="O279" s="16">
        <f t="shared" si="14"/>
        <v>0.4499999999999999</v>
      </c>
    </row>
    <row r="280" spans="1:15" x14ac:dyDescent="0.25">
      <c r="A280" s="1" t="s">
        <v>324</v>
      </c>
      <c r="B280" s="5">
        <v>46054</v>
      </c>
      <c r="C280" s="1" t="s">
        <v>1</v>
      </c>
      <c r="D280" s="1" t="s">
        <v>15</v>
      </c>
      <c r="E280" s="1" t="s">
        <v>36</v>
      </c>
      <c r="F280" s="1" t="s">
        <v>42</v>
      </c>
      <c r="G280" s="1" t="s">
        <v>43</v>
      </c>
      <c r="H280" s="1" t="s">
        <v>6</v>
      </c>
      <c r="I280" s="1">
        <v>17</v>
      </c>
      <c r="J280" s="3">
        <v>13500</v>
      </c>
      <c r="K280" s="3">
        <f>Tbl_Datos[[#This Row],[Unidades]]*Tbl_Datos[[#This Row],[Precio Unitario]]</f>
        <v>229500</v>
      </c>
      <c r="L280" s="3" cm="1">
        <f t="array" ref="L280">_xlfn.IFS(F280="Camas",J280*68%,F280="Comederos",J280*60%,F280="Higiene",J280*55%,F280="Juguetes",J280*62%,F280="Transporte",J280*72%)</f>
        <v>7425.0000000000009</v>
      </c>
      <c r="M280" s="3">
        <f t="shared" si="12"/>
        <v>126225.00000000001</v>
      </c>
      <c r="N280" s="3">
        <f t="shared" si="13"/>
        <v>103274.99999999999</v>
      </c>
      <c r="O280" s="16">
        <f t="shared" si="14"/>
        <v>0.44999999999999996</v>
      </c>
    </row>
    <row r="281" spans="1:15" x14ac:dyDescent="0.25">
      <c r="A281" s="1" t="s">
        <v>325</v>
      </c>
      <c r="B281" s="5">
        <v>46162</v>
      </c>
      <c r="C281" s="1" t="s">
        <v>14</v>
      </c>
      <c r="D281" s="1" t="s">
        <v>9</v>
      </c>
      <c r="E281" s="1" t="s">
        <v>10</v>
      </c>
      <c r="F281" s="1" t="s">
        <v>42</v>
      </c>
      <c r="G281" s="1" t="s">
        <v>43</v>
      </c>
      <c r="H281" s="1" t="s">
        <v>6</v>
      </c>
      <c r="I281" s="1">
        <v>22</v>
      </c>
      <c r="J281" s="3">
        <v>13200</v>
      </c>
      <c r="K281" s="3">
        <f>Tbl_Datos[[#This Row],[Unidades]]*Tbl_Datos[[#This Row],[Precio Unitario]]</f>
        <v>290400</v>
      </c>
      <c r="L281" s="3" cm="1">
        <f t="array" ref="L281">_xlfn.IFS(F281="Camas",J281*68%,F281="Comederos",J281*60%,F281="Higiene",J281*55%,F281="Juguetes",J281*62%,F281="Transporte",J281*72%)</f>
        <v>7260.0000000000009</v>
      </c>
      <c r="M281" s="3">
        <f t="shared" si="12"/>
        <v>159720.00000000003</v>
      </c>
      <c r="N281" s="3">
        <f t="shared" si="13"/>
        <v>130679.99999999997</v>
      </c>
      <c r="O281" s="16">
        <f t="shared" si="14"/>
        <v>0.4499999999999999</v>
      </c>
    </row>
    <row r="282" spans="1:15" x14ac:dyDescent="0.25">
      <c r="A282" s="1" t="s">
        <v>326</v>
      </c>
      <c r="B282" s="5">
        <v>46031</v>
      </c>
      <c r="C282" s="1" t="s">
        <v>32</v>
      </c>
      <c r="D282" s="1" t="s">
        <v>15</v>
      </c>
      <c r="E282" s="1" t="s">
        <v>3</v>
      </c>
      <c r="F282" s="1" t="s">
        <v>22</v>
      </c>
      <c r="G282" s="1" t="s">
        <v>23</v>
      </c>
      <c r="H282" s="1" t="s">
        <v>6</v>
      </c>
      <c r="I282" s="1">
        <v>50</v>
      </c>
      <c r="J282" s="3">
        <v>46700</v>
      </c>
      <c r="K282" s="3">
        <f>Tbl_Datos[[#This Row],[Unidades]]*Tbl_Datos[[#This Row],[Precio Unitario]]</f>
        <v>2335000</v>
      </c>
      <c r="L282" s="3" cm="1">
        <f t="array" ref="L282">_xlfn.IFS(F282="Camas",J282*68%,F282="Comederos",J282*60%,F282="Higiene",J282*55%,F282="Juguetes",J282*62%,F282="Transporte",J282*72%)</f>
        <v>33624</v>
      </c>
      <c r="M282" s="3">
        <f t="shared" si="12"/>
        <v>1681200</v>
      </c>
      <c r="N282" s="3">
        <f t="shared" si="13"/>
        <v>653800</v>
      </c>
      <c r="O282" s="16">
        <f t="shared" si="14"/>
        <v>0.28000000000000003</v>
      </c>
    </row>
    <row r="283" spans="1:15" x14ac:dyDescent="0.25">
      <c r="A283" s="1" t="s">
        <v>327</v>
      </c>
      <c r="B283" s="5">
        <v>46122</v>
      </c>
      <c r="C283" s="1" t="s">
        <v>47</v>
      </c>
      <c r="D283" s="1" t="s">
        <v>2</v>
      </c>
      <c r="E283" s="1" t="s">
        <v>36</v>
      </c>
      <c r="F283" s="1" t="s">
        <v>42</v>
      </c>
      <c r="G283" s="1" t="s">
        <v>49</v>
      </c>
      <c r="H283" s="1" t="s">
        <v>6</v>
      </c>
      <c r="I283" s="1">
        <v>14</v>
      </c>
      <c r="J283" s="3">
        <v>3300</v>
      </c>
      <c r="K283" s="3">
        <f>Tbl_Datos[[#This Row],[Unidades]]*Tbl_Datos[[#This Row],[Precio Unitario]]</f>
        <v>46200</v>
      </c>
      <c r="L283" s="3" cm="1">
        <f t="array" ref="L283">_xlfn.IFS(F283="Camas",J283*68%,F283="Comederos",J283*60%,F283="Higiene",J283*55%,F283="Juguetes",J283*62%,F283="Transporte",J283*72%)</f>
        <v>1815.0000000000002</v>
      </c>
      <c r="M283" s="3">
        <f t="shared" si="12"/>
        <v>25410.000000000004</v>
      </c>
      <c r="N283" s="3">
        <f t="shared" si="13"/>
        <v>20789.999999999996</v>
      </c>
      <c r="O283" s="16">
        <f t="shared" si="14"/>
        <v>0.4499999999999999</v>
      </c>
    </row>
    <row r="284" spans="1:15" x14ac:dyDescent="0.25">
      <c r="A284" s="1" t="s">
        <v>328</v>
      </c>
      <c r="B284" s="5">
        <v>46169</v>
      </c>
      <c r="C284" s="1" t="s">
        <v>14</v>
      </c>
      <c r="D284" s="1" t="s">
        <v>9</v>
      </c>
      <c r="E284" s="1" t="s">
        <v>16</v>
      </c>
      <c r="F284" s="1" t="s">
        <v>17</v>
      </c>
      <c r="G284" s="1" t="s">
        <v>18</v>
      </c>
      <c r="H284" s="1" t="s">
        <v>19</v>
      </c>
      <c r="I284" s="1">
        <v>10</v>
      </c>
      <c r="J284" s="3">
        <v>2900</v>
      </c>
      <c r="K284" s="3">
        <f>Tbl_Datos[[#This Row],[Unidades]]*Tbl_Datos[[#This Row],[Precio Unitario]]</f>
        <v>29000</v>
      </c>
      <c r="L284" s="3" cm="1">
        <f t="array" ref="L284">_xlfn.IFS(F284="Camas",J284*68%,F284="Comederos",J284*60%,F284="Higiene",J284*55%,F284="Juguetes",J284*62%,F284="Transporte",J284*72%)</f>
        <v>1798</v>
      </c>
      <c r="M284" s="3">
        <f t="shared" si="12"/>
        <v>17980</v>
      </c>
      <c r="N284" s="3">
        <f t="shared" si="13"/>
        <v>11020</v>
      </c>
      <c r="O284" s="16">
        <f t="shared" si="14"/>
        <v>0.38</v>
      </c>
    </row>
    <row r="285" spans="1:15" x14ac:dyDescent="0.25">
      <c r="A285" s="1" t="s">
        <v>329</v>
      </c>
      <c r="B285" s="5">
        <v>46216</v>
      </c>
      <c r="C285" s="1" t="s">
        <v>52</v>
      </c>
      <c r="D285" s="1" t="s">
        <v>21</v>
      </c>
      <c r="E285" s="1" t="s">
        <v>16</v>
      </c>
      <c r="F285" s="1" t="s">
        <v>4</v>
      </c>
      <c r="G285" s="1" t="s">
        <v>34</v>
      </c>
      <c r="H285" s="1" t="s">
        <v>24</v>
      </c>
      <c r="I285" s="1">
        <v>53</v>
      </c>
      <c r="J285" s="3">
        <v>3700</v>
      </c>
      <c r="K285" s="3">
        <f>Tbl_Datos[[#This Row],[Unidades]]*Tbl_Datos[[#This Row],[Precio Unitario]]</f>
        <v>196100</v>
      </c>
      <c r="L285" s="3" cm="1">
        <f t="array" ref="L285">_xlfn.IFS(F285="Camas",J285*68%,F285="Comederos",J285*60%,F285="Higiene",J285*55%,F285="Juguetes",J285*62%,F285="Transporte",J285*72%)</f>
        <v>2220</v>
      </c>
      <c r="M285" s="3">
        <f t="shared" si="12"/>
        <v>117660</v>
      </c>
      <c r="N285" s="3">
        <f t="shared" si="13"/>
        <v>78440</v>
      </c>
      <c r="O285" s="16">
        <f t="shared" si="14"/>
        <v>0.4</v>
      </c>
    </row>
    <row r="286" spans="1:15" x14ac:dyDescent="0.25">
      <c r="A286" s="1" t="s">
        <v>330</v>
      </c>
      <c r="B286" s="5">
        <v>46158</v>
      </c>
      <c r="C286" s="1" t="s">
        <v>14</v>
      </c>
      <c r="D286" s="1" t="s">
        <v>21</v>
      </c>
      <c r="E286" s="1" t="s">
        <v>53</v>
      </c>
      <c r="F286" s="1" t="s">
        <v>4</v>
      </c>
      <c r="G286" s="1" t="s">
        <v>38</v>
      </c>
      <c r="H286" s="1" t="s">
        <v>19</v>
      </c>
      <c r="I286" s="1">
        <v>13</v>
      </c>
      <c r="J286" s="3">
        <v>7700</v>
      </c>
      <c r="K286" s="3">
        <f>Tbl_Datos[[#This Row],[Unidades]]*Tbl_Datos[[#This Row],[Precio Unitario]]</f>
        <v>100100</v>
      </c>
      <c r="L286" s="3" cm="1">
        <f t="array" ref="L286">_xlfn.IFS(F286="Camas",J286*68%,F286="Comederos",J286*60%,F286="Higiene",J286*55%,F286="Juguetes",J286*62%,F286="Transporte",J286*72%)</f>
        <v>4620</v>
      </c>
      <c r="M286" s="3">
        <f t="shared" si="12"/>
        <v>60060</v>
      </c>
      <c r="N286" s="3">
        <f t="shared" si="13"/>
        <v>40040</v>
      </c>
      <c r="O286" s="16">
        <f t="shared" si="14"/>
        <v>0.4</v>
      </c>
    </row>
    <row r="287" spans="1:15" x14ac:dyDescent="0.25">
      <c r="A287" s="1" t="s">
        <v>331</v>
      </c>
      <c r="B287" s="5">
        <v>46195</v>
      </c>
      <c r="C287" s="1" t="s">
        <v>45</v>
      </c>
      <c r="D287" s="1" t="s">
        <v>33</v>
      </c>
      <c r="E287" s="1" t="s">
        <v>3</v>
      </c>
      <c r="F287" s="1" t="s">
        <v>4</v>
      </c>
      <c r="G287" s="1" t="s">
        <v>71</v>
      </c>
      <c r="H287" s="1" t="s">
        <v>19</v>
      </c>
      <c r="I287" s="1">
        <v>34</v>
      </c>
      <c r="J287" s="3">
        <v>16000</v>
      </c>
      <c r="K287" s="3">
        <f>Tbl_Datos[[#This Row],[Unidades]]*Tbl_Datos[[#This Row],[Precio Unitario]]</f>
        <v>544000</v>
      </c>
      <c r="L287" s="3" cm="1">
        <f t="array" ref="L287">_xlfn.IFS(F287="Camas",J287*68%,F287="Comederos",J287*60%,F287="Higiene",J287*55%,F287="Juguetes",J287*62%,F287="Transporte",J287*72%)</f>
        <v>9600</v>
      </c>
      <c r="M287" s="3">
        <f t="shared" si="12"/>
        <v>326400</v>
      </c>
      <c r="N287" s="3">
        <f t="shared" si="13"/>
        <v>217600</v>
      </c>
      <c r="O287" s="16">
        <f t="shared" si="14"/>
        <v>0.4</v>
      </c>
    </row>
    <row r="288" spans="1:15" x14ac:dyDescent="0.25">
      <c r="A288" s="1" t="s">
        <v>332</v>
      </c>
      <c r="B288" s="5">
        <v>46085</v>
      </c>
      <c r="C288" s="1" t="s">
        <v>26</v>
      </c>
      <c r="D288" s="1" t="s">
        <v>2</v>
      </c>
      <c r="E288" s="1" t="s">
        <v>3</v>
      </c>
      <c r="F288" s="1" t="s">
        <v>4</v>
      </c>
      <c r="G288" s="1" t="s">
        <v>5</v>
      </c>
      <c r="H288" s="1" t="s">
        <v>24</v>
      </c>
      <c r="I288" s="1">
        <v>53</v>
      </c>
      <c r="J288" s="3">
        <v>6000</v>
      </c>
      <c r="K288" s="3">
        <f>Tbl_Datos[[#This Row],[Unidades]]*Tbl_Datos[[#This Row],[Precio Unitario]]</f>
        <v>318000</v>
      </c>
      <c r="L288" s="3" cm="1">
        <f t="array" ref="L288">_xlfn.IFS(F288="Camas",J288*68%,F288="Comederos",J288*60%,F288="Higiene",J288*55%,F288="Juguetes",J288*62%,F288="Transporte",J288*72%)</f>
        <v>3600</v>
      </c>
      <c r="M288" s="3">
        <f t="shared" si="12"/>
        <v>190800</v>
      </c>
      <c r="N288" s="3">
        <f t="shared" si="13"/>
        <v>127200</v>
      </c>
      <c r="O288" s="16">
        <f t="shared" si="14"/>
        <v>0.4</v>
      </c>
    </row>
    <row r="289" spans="1:15" x14ac:dyDescent="0.25">
      <c r="A289" s="1" t="s">
        <v>333</v>
      </c>
      <c r="B289" s="5">
        <v>46227</v>
      </c>
      <c r="C289" s="1" t="s">
        <v>52</v>
      </c>
      <c r="D289" s="1" t="s">
        <v>33</v>
      </c>
      <c r="E289" s="1" t="s">
        <v>36</v>
      </c>
      <c r="F289" s="1" t="s">
        <v>11</v>
      </c>
      <c r="G289" s="1" t="s">
        <v>144</v>
      </c>
      <c r="H289" s="1" t="s">
        <v>19</v>
      </c>
      <c r="I289" s="1">
        <v>15</v>
      </c>
      <c r="J289" s="3">
        <v>23600</v>
      </c>
      <c r="K289" s="3">
        <f>Tbl_Datos[[#This Row],[Unidades]]*Tbl_Datos[[#This Row],[Precio Unitario]]</f>
        <v>354000</v>
      </c>
      <c r="L289" s="3" cm="1">
        <f t="array" ref="L289">_xlfn.IFS(F289="Camas",J289*68%,F289="Comederos",J289*60%,F289="Higiene",J289*55%,F289="Juguetes",J289*62%,F289="Transporte",J289*72%)</f>
        <v>16048.000000000002</v>
      </c>
      <c r="M289" s="3">
        <f t="shared" si="12"/>
        <v>240720.00000000003</v>
      </c>
      <c r="N289" s="3">
        <f t="shared" si="13"/>
        <v>113279.99999999997</v>
      </c>
      <c r="O289" s="16">
        <f t="shared" si="14"/>
        <v>0.3199999999999999</v>
      </c>
    </row>
    <row r="290" spans="1:15" x14ac:dyDescent="0.25">
      <c r="A290" s="1" t="s">
        <v>334</v>
      </c>
      <c r="B290" s="5">
        <v>46177</v>
      </c>
      <c r="C290" s="1" t="s">
        <v>45</v>
      </c>
      <c r="D290" s="1" t="s">
        <v>9</v>
      </c>
      <c r="E290" s="1" t="s">
        <v>53</v>
      </c>
      <c r="F290" s="1" t="s">
        <v>22</v>
      </c>
      <c r="G290" s="1" t="s">
        <v>23</v>
      </c>
      <c r="H290" s="1" t="s">
        <v>19</v>
      </c>
      <c r="I290" s="1">
        <v>24</v>
      </c>
      <c r="J290" s="3">
        <v>50300</v>
      </c>
      <c r="K290" s="3">
        <f>Tbl_Datos[[#This Row],[Unidades]]*Tbl_Datos[[#This Row],[Precio Unitario]]</f>
        <v>1207200</v>
      </c>
      <c r="L290" s="3" cm="1">
        <f t="array" ref="L290">_xlfn.IFS(F290="Camas",J290*68%,F290="Comederos",J290*60%,F290="Higiene",J290*55%,F290="Juguetes",J290*62%,F290="Transporte",J290*72%)</f>
        <v>36216</v>
      </c>
      <c r="M290" s="3">
        <f t="shared" si="12"/>
        <v>869184</v>
      </c>
      <c r="N290" s="3">
        <f t="shared" si="13"/>
        <v>338016</v>
      </c>
      <c r="O290" s="16">
        <f t="shared" si="14"/>
        <v>0.28000000000000003</v>
      </c>
    </row>
    <row r="291" spans="1:15" x14ac:dyDescent="0.25">
      <c r="A291" s="1" t="s">
        <v>335</v>
      </c>
      <c r="B291" s="5">
        <v>46241</v>
      </c>
      <c r="C291" s="1" t="s">
        <v>8</v>
      </c>
      <c r="D291" s="1" t="s">
        <v>27</v>
      </c>
      <c r="E291" s="1" t="s">
        <v>10</v>
      </c>
      <c r="F291" s="1" t="s">
        <v>4</v>
      </c>
      <c r="G291" s="1" t="s">
        <v>71</v>
      </c>
      <c r="H291" s="1" t="s">
        <v>6</v>
      </c>
      <c r="I291" s="1">
        <v>50</v>
      </c>
      <c r="J291" s="3">
        <v>16900</v>
      </c>
      <c r="K291" s="3">
        <f>Tbl_Datos[[#This Row],[Unidades]]*Tbl_Datos[[#This Row],[Precio Unitario]]</f>
        <v>845000</v>
      </c>
      <c r="L291" s="3" cm="1">
        <f t="array" ref="L291">_xlfn.IFS(F291="Camas",J291*68%,F291="Comederos",J291*60%,F291="Higiene",J291*55%,F291="Juguetes",J291*62%,F291="Transporte",J291*72%)</f>
        <v>10140</v>
      </c>
      <c r="M291" s="3">
        <f t="shared" si="12"/>
        <v>507000</v>
      </c>
      <c r="N291" s="3">
        <f t="shared" si="13"/>
        <v>338000</v>
      </c>
      <c r="O291" s="16">
        <f t="shared" si="14"/>
        <v>0.4</v>
      </c>
    </row>
    <row r="292" spans="1:15" x14ac:dyDescent="0.25">
      <c r="A292" s="1" t="s">
        <v>336</v>
      </c>
      <c r="B292" s="5">
        <v>46225</v>
      </c>
      <c r="C292" s="1" t="s">
        <v>52</v>
      </c>
      <c r="D292" s="1" t="s">
        <v>15</v>
      </c>
      <c r="E292" s="1" t="s">
        <v>16</v>
      </c>
      <c r="F292" s="1" t="s">
        <v>11</v>
      </c>
      <c r="G292" s="1" t="s">
        <v>144</v>
      </c>
      <c r="H292" s="1" t="s">
        <v>6</v>
      </c>
      <c r="I292" s="1">
        <v>33</v>
      </c>
      <c r="J292" s="3">
        <v>23100</v>
      </c>
      <c r="K292" s="3">
        <f>Tbl_Datos[[#This Row],[Unidades]]*Tbl_Datos[[#This Row],[Precio Unitario]]</f>
        <v>762300</v>
      </c>
      <c r="L292" s="3" cm="1">
        <f t="array" ref="L292">_xlfn.IFS(F292="Camas",J292*68%,F292="Comederos",J292*60%,F292="Higiene",J292*55%,F292="Juguetes",J292*62%,F292="Transporte",J292*72%)</f>
        <v>15708.000000000002</v>
      </c>
      <c r="M292" s="3">
        <f t="shared" si="12"/>
        <v>518364.00000000006</v>
      </c>
      <c r="N292" s="3">
        <f t="shared" si="13"/>
        <v>243935.99999999994</v>
      </c>
      <c r="O292" s="16">
        <f t="shared" si="14"/>
        <v>0.31999999999999995</v>
      </c>
    </row>
    <row r="293" spans="1:15" x14ac:dyDescent="0.25">
      <c r="A293" s="1" t="s">
        <v>337</v>
      </c>
      <c r="B293" s="5">
        <v>46102</v>
      </c>
      <c r="C293" s="1" t="s">
        <v>26</v>
      </c>
      <c r="D293" s="1" t="s">
        <v>27</v>
      </c>
      <c r="E293" s="1" t="s">
        <v>3</v>
      </c>
      <c r="F293" s="1" t="s">
        <v>4</v>
      </c>
      <c r="G293" s="1" t="s">
        <v>38</v>
      </c>
      <c r="H293" s="1" t="s">
        <v>19</v>
      </c>
      <c r="I293" s="1">
        <v>9</v>
      </c>
      <c r="J293" s="3">
        <v>7800</v>
      </c>
      <c r="K293" s="3">
        <f>Tbl_Datos[[#This Row],[Unidades]]*Tbl_Datos[[#This Row],[Precio Unitario]]</f>
        <v>70200</v>
      </c>
      <c r="L293" s="3" cm="1">
        <f t="array" ref="L293">_xlfn.IFS(F293="Camas",J293*68%,F293="Comederos",J293*60%,F293="Higiene",J293*55%,F293="Juguetes",J293*62%,F293="Transporte",J293*72%)</f>
        <v>4680</v>
      </c>
      <c r="M293" s="3">
        <f t="shared" si="12"/>
        <v>42120</v>
      </c>
      <c r="N293" s="3">
        <f t="shared" si="13"/>
        <v>28080</v>
      </c>
      <c r="O293" s="16">
        <f t="shared" si="14"/>
        <v>0.4</v>
      </c>
    </row>
    <row r="294" spans="1:15" x14ac:dyDescent="0.25">
      <c r="A294" s="1" t="s">
        <v>338</v>
      </c>
      <c r="B294" s="5">
        <v>46067</v>
      </c>
      <c r="C294" s="1" t="s">
        <v>1</v>
      </c>
      <c r="D294" s="1" t="s">
        <v>21</v>
      </c>
      <c r="E294" s="1" t="s">
        <v>3</v>
      </c>
      <c r="F294" s="1" t="s">
        <v>4</v>
      </c>
      <c r="G294" s="1" t="s">
        <v>38</v>
      </c>
      <c r="H294" s="1" t="s">
        <v>6</v>
      </c>
      <c r="I294" s="1">
        <v>44</v>
      </c>
      <c r="J294" s="3">
        <v>8400</v>
      </c>
      <c r="K294" s="3">
        <f>Tbl_Datos[[#This Row],[Unidades]]*Tbl_Datos[[#This Row],[Precio Unitario]]</f>
        <v>369600</v>
      </c>
      <c r="L294" s="3" cm="1">
        <f t="array" ref="L294">_xlfn.IFS(F294="Camas",J294*68%,F294="Comederos",J294*60%,F294="Higiene",J294*55%,F294="Juguetes",J294*62%,F294="Transporte",J294*72%)</f>
        <v>5040</v>
      </c>
      <c r="M294" s="3">
        <f t="shared" si="12"/>
        <v>221760</v>
      </c>
      <c r="N294" s="3">
        <f t="shared" si="13"/>
        <v>147840</v>
      </c>
      <c r="O294" s="16">
        <f t="shared" si="14"/>
        <v>0.4</v>
      </c>
    </row>
    <row r="295" spans="1:15" x14ac:dyDescent="0.25">
      <c r="A295" s="1" t="s">
        <v>339</v>
      </c>
      <c r="B295" s="5">
        <v>46042</v>
      </c>
      <c r="C295" s="1" t="s">
        <v>32</v>
      </c>
      <c r="D295" s="1" t="s">
        <v>21</v>
      </c>
      <c r="E295" s="1" t="s">
        <v>10</v>
      </c>
      <c r="F295" s="1" t="s">
        <v>17</v>
      </c>
      <c r="G295" s="1" t="s">
        <v>68</v>
      </c>
      <c r="H295" s="1" t="s">
        <v>6</v>
      </c>
      <c r="I295" s="1">
        <v>12</v>
      </c>
      <c r="J295" s="3">
        <v>5300</v>
      </c>
      <c r="K295" s="3">
        <f>Tbl_Datos[[#This Row],[Unidades]]*Tbl_Datos[[#This Row],[Precio Unitario]]</f>
        <v>63600</v>
      </c>
      <c r="L295" s="3" cm="1">
        <f t="array" ref="L295">_xlfn.IFS(F295="Camas",J295*68%,F295="Comederos",J295*60%,F295="Higiene",J295*55%,F295="Juguetes",J295*62%,F295="Transporte",J295*72%)</f>
        <v>3286</v>
      </c>
      <c r="M295" s="3">
        <f t="shared" si="12"/>
        <v>39432</v>
      </c>
      <c r="N295" s="3">
        <f t="shared" si="13"/>
        <v>24168</v>
      </c>
      <c r="O295" s="16">
        <f t="shared" si="14"/>
        <v>0.38</v>
      </c>
    </row>
    <row r="296" spans="1:15" x14ac:dyDescent="0.25">
      <c r="A296" s="1" t="s">
        <v>340</v>
      </c>
      <c r="B296" s="5">
        <v>46233</v>
      </c>
      <c r="C296" s="1" t="s">
        <v>52</v>
      </c>
      <c r="D296" s="1" t="s">
        <v>9</v>
      </c>
      <c r="E296" s="1" t="s">
        <v>10</v>
      </c>
      <c r="F296" s="1" t="s">
        <v>42</v>
      </c>
      <c r="G296" s="1" t="s">
        <v>49</v>
      </c>
      <c r="H296" s="1" t="s">
        <v>19</v>
      </c>
      <c r="I296" s="1">
        <v>13</v>
      </c>
      <c r="J296" s="3">
        <v>3500</v>
      </c>
      <c r="K296" s="3">
        <f>Tbl_Datos[[#This Row],[Unidades]]*Tbl_Datos[[#This Row],[Precio Unitario]]</f>
        <v>45500</v>
      </c>
      <c r="L296" s="3" cm="1">
        <f t="array" ref="L296">_xlfn.IFS(F296="Camas",J296*68%,F296="Comederos",J296*60%,F296="Higiene",J296*55%,F296="Juguetes",J296*62%,F296="Transporte",J296*72%)</f>
        <v>1925.0000000000002</v>
      </c>
      <c r="M296" s="3">
        <f t="shared" si="12"/>
        <v>25025.000000000004</v>
      </c>
      <c r="N296" s="3">
        <f t="shared" si="13"/>
        <v>20474.999999999996</v>
      </c>
      <c r="O296" s="16">
        <f t="shared" si="14"/>
        <v>0.4499999999999999</v>
      </c>
    </row>
    <row r="297" spans="1:15" x14ac:dyDescent="0.25">
      <c r="A297" s="1" t="s">
        <v>341</v>
      </c>
      <c r="B297" s="5">
        <v>46039</v>
      </c>
      <c r="C297" s="1" t="s">
        <v>32</v>
      </c>
      <c r="D297" s="1" t="s">
        <v>33</v>
      </c>
      <c r="E297" s="1" t="s">
        <v>10</v>
      </c>
      <c r="F297" s="1" t="s">
        <v>4</v>
      </c>
      <c r="G297" s="1" t="s">
        <v>71</v>
      </c>
      <c r="H297" s="1" t="s">
        <v>24</v>
      </c>
      <c r="I297" s="1">
        <v>54</v>
      </c>
      <c r="J297" s="3">
        <v>15300</v>
      </c>
      <c r="K297" s="3">
        <f>Tbl_Datos[[#This Row],[Unidades]]*Tbl_Datos[[#This Row],[Precio Unitario]]</f>
        <v>826200</v>
      </c>
      <c r="L297" s="3" cm="1">
        <f t="array" ref="L297">_xlfn.IFS(F297="Camas",J297*68%,F297="Comederos",J297*60%,F297="Higiene",J297*55%,F297="Juguetes",J297*62%,F297="Transporte",J297*72%)</f>
        <v>9180</v>
      </c>
      <c r="M297" s="3">
        <f t="shared" si="12"/>
        <v>495720</v>
      </c>
      <c r="N297" s="3">
        <f t="shared" si="13"/>
        <v>330480</v>
      </c>
      <c r="O297" s="16">
        <f t="shared" si="14"/>
        <v>0.4</v>
      </c>
    </row>
    <row r="298" spans="1:15" x14ac:dyDescent="0.25">
      <c r="A298" s="1" t="s">
        <v>342</v>
      </c>
      <c r="B298" s="5">
        <v>46101</v>
      </c>
      <c r="C298" s="1" t="s">
        <v>26</v>
      </c>
      <c r="D298" s="1" t="s">
        <v>2</v>
      </c>
      <c r="E298" s="1" t="s">
        <v>16</v>
      </c>
      <c r="F298" s="1" t="s">
        <v>11</v>
      </c>
      <c r="G298" s="1" t="s">
        <v>28</v>
      </c>
      <c r="H298" s="1" t="s">
        <v>19</v>
      </c>
      <c r="I298" s="1">
        <v>13</v>
      </c>
      <c r="J298" s="3">
        <v>15200</v>
      </c>
      <c r="K298" s="3">
        <f>Tbl_Datos[[#This Row],[Unidades]]*Tbl_Datos[[#This Row],[Precio Unitario]]</f>
        <v>197600</v>
      </c>
      <c r="L298" s="3" cm="1">
        <f t="array" ref="L298">_xlfn.IFS(F298="Camas",J298*68%,F298="Comederos",J298*60%,F298="Higiene",J298*55%,F298="Juguetes",J298*62%,F298="Transporte",J298*72%)</f>
        <v>10336</v>
      </c>
      <c r="M298" s="3">
        <f t="shared" si="12"/>
        <v>134368</v>
      </c>
      <c r="N298" s="3">
        <f t="shared" si="13"/>
        <v>63232</v>
      </c>
      <c r="O298" s="16">
        <f t="shared" si="14"/>
        <v>0.32</v>
      </c>
    </row>
    <row r="299" spans="1:15" x14ac:dyDescent="0.25">
      <c r="A299" s="1" t="s">
        <v>343</v>
      </c>
      <c r="B299" s="5">
        <v>46029</v>
      </c>
      <c r="C299" s="1" t="s">
        <v>32</v>
      </c>
      <c r="D299" s="1" t="s">
        <v>27</v>
      </c>
      <c r="E299" s="1" t="s">
        <v>3</v>
      </c>
      <c r="F299" s="1" t="s">
        <v>17</v>
      </c>
      <c r="G299" s="1" t="s">
        <v>68</v>
      </c>
      <c r="H299" s="1" t="s">
        <v>19</v>
      </c>
      <c r="I299" s="1">
        <v>6</v>
      </c>
      <c r="J299" s="3">
        <v>5500</v>
      </c>
      <c r="K299" s="3">
        <f>Tbl_Datos[[#This Row],[Unidades]]*Tbl_Datos[[#This Row],[Precio Unitario]]</f>
        <v>33000</v>
      </c>
      <c r="L299" s="3" cm="1">
        <f t="array" ref="L299">_xlfn.IFS(F299="Camas",J299*68%,F299="Comederos",J299*60%,F299="Higiene",J299*55%,F299="Juguetes",J299*62%,F299="Transporte",J299*72%)</f>
        <v>3410</v>
      </c>
      <c r="M299" s="3">
        <f t="shared" si="12"/>
        <v>20460</v>
      </c>
      <c r="N299" s="3">
        <f t="shared" si="13"/>
        <v>12540</v>
      </c>
      <c r="O299" s="16">
        <f t="shared" si="14"/>
        <v>0.38</v>
      </c>
    </row>
    <row r="300" spans="1:15" x14ac:dyDescent="0.25">
      <c r="A300" s="1" t="s">
        <v>344</v>
      </c>
      <c r="B300" s="5">
        <v>46100</v>
      </c>
      <c r="C300" s="1" t="s">
        <v>26</v>
      </c>
      <c r="D300" s="1" t="s">
        <v>21</v>
      </c>
      <c r="E300" s="1" t="s">
        <v>10</v>
      </c>
      <c r="F300" s="1" t="s">
        <v>17</v>
      </c>
      <c r="G300" s="1" t="s">
        <v>18</v>
      </c>
      <c r="H300" s="1" t="s">
        <v>19</v>
      </c>
      <c r="I300" s="1">
        <v>18</v>
      </c>
      <c r="J300" s="3">
        <v>2800</v>
      </c>
      <c r="K300" s="3">
        <f>Tbl_Datos[[#This Row],[Unidades]]*Tbl_Datos[[#This Row],[Precio Unitario]]</f>
        <v>50400</v>
      </c>
      <c r="L300" s="3" cm="1">
        <f t="array" ref="L300">_xlfn.IFS(F300="Camas",J300*68%,F300="Comederos",J300*60%,F300="Higiene",J300*55%,F300="Juguetes",J300*62%,F300="Transporte",J300*72%)</f>
        <v>1736</v>
      </c>
      <c r="M300" s="3">
        <f t="shared" si="12"/>
        <v>31248</v>
      </c>
      <c r="N300" s="3">
        <f t="shared" si="13"/>
        <v>19152</v>
      </c>
      <c r="O300" s="16">
        <f t="shared" si="14"/>
        <v>0.38</v>
      </c>
    </row>
    <row r="301" spans="1:15" x14ac:dyDescent="0.25">
      <c r="A301" s="1" t="s">
        <v>345</v>
      </c>
      <c r="B301" s="5">
        <v>46192</v>
      </c>
      <c r="C301" s="1" t="s">
        <v>45</v>
      </c>
      <c r="D301" s="1" t="s">
        <v>15</v>
      </c>
      <c r="E301" s="1" t="s">
        <v>53</v>
      </c>
      <c r="F301" s="1" t="s">
        <v>42</v>
      </c>
      <c r="G301" s="1" t="s">
        <v>49</v>
      </c>
      <c r="H301" s="1" t="s">
        <v>19</v>
      </c>
      <c r="I301" s="1">
        <v>52</v>
      </c>
      <c r="J301" s="3">
        <v>3600</v>
      </c>
      <c r="K301" s="3">
        <f>Tbl_Datos[[#This Row],[Unidades]]*Tbl_Datos[[#This Row],[Precio Unitario]]</f>
        <v>187200</v>
      </c>
      <c r="L301" s="3" cm="1">
        <f t="array" ref="L301">_xlfn.IFS(F301="Camas",J301*68%,F301="Comederos",J301*60%,F301="Higiene",J301*55%,F301="Juguetes",J301*62%,F301="Transporte",J301*72%)</f>
        <v>1980.0000000000002</v>
      </c>
      <c r="M301" s="3">
        <f t="shared" si="12"/>
        <v>102960.00000000001</v>
      </c>
      <c r="N301" s="3">
        <f t="shared" si="13"/>
        <v>84239.999999999985</v>
      </c>
      <c r="O301" s="16">
        <f t="shared" si="14"/>
        <v>0.4499999999999999</v>
      </c>
    </row>
    <row r="302" spans="1:15" x14ac:dyDescent="0.25">
      <c r="A302" s="1" t="s">
        <v>346</v>
      </c>
      <c r="B302" s="5">
        <v>46261</v>
      </c>
      <c r="C302" s="1" t="s">
        <v>8</v>
      </c>
      <c r="D302" s="1" t="s">
        <v>9</v>
      </c>
      <c r="E302" s="1" t="s">
        <v>10</v>
      </c>
      <c r="F302" s="1" t="s">
        <v>22</v>
      </c>
      <c r="G302" s="1" t="s">
        <v>55</v>
      </c>
      <c r="H302" s="1" t="s">
        <v>6</v>
      </c>
      <c r="I302" s="1">
        <v>33</v>
      </c>
      <c r="J302" s="3">
        <v>35700</v>
      </c>
      <c r="K302" s="3">
        <f>Tbl_Datos[[#This Row],[Unidades]]*Tbl_Datos[[#This Row],[Precio Unitario]]</f>
        <v>1178100</v>
      </c>
      <c r="L302" s="3" cm="1">
        <f t="array" ref="L302">_xlfn.IFS(F302="Camas",J302*68%,F302="Comederos",J302*60%,F302="Higiene",J302*55%,F302="Juguetes",J302*62%,F302="Transporte",J302*72%)</f>
        <v>25704</v>
      </c>
      <c r="M302" s="3">
        <f t="shared" si="12"/>
        <v>848232</v>
      </c>
      <c r="N302" s="3">
        <f t="shared" si="13"/>
        <v>329868</v>
      </c>
      <c r="O302" s="16">
        <f t="shared" si="14"/>
        <v>0.28000000000000003</v>
      </c>
    </row>
    <row r="303" spans="1:15" x14ac:dyDescent="0.25">
      <c r="A303" s="1" t="s">
        <v>347</v>
      </c>
      <c r="B303" s="5">
        <v>46251</v>
      </c>
      <c r="C303" s="1" t="s">
        <v>8</v>
      </c>
      <c r="D303" s="1" t="s">
        <v>27</v>
      </c>
      <c r="E303" s="1" t="s">
        <v>10</v>
      </c>
      <c r="F303" s="1" t="s">
        <v>11</v>
      </c>
      <c r="G303" s="1" t="s">
        <v>28</v>
      </c>
      <c r="H303" s="1" t="s">
        <v>19</v>
      </c>
      <c r="I303" s="1">
        <v>35</v>
      </c>
      <c r="J303" s="3">
        <v>14400</v>
      </c>
      <c r="K303" s="3">
        <f>Tbl_Datos[[#This Row],[Unidades]]*Tbl_Datos[[#This Row],[Precio Unitario]]</f>
        <v>504000</v>
      </c>
      <c r="L303" s="3" cm="1">
        <f t="array" ref="L303">_xlfn.IFS(F303="Camas",J303*68%,F303="Comederos",J303*60%,F303="Higiene",J303*55%,F303="Juguetes",J303*62%,F303="Transporte",J303*72%)</f>
        <v>9792</v>
      </c>
      <c r="M303" s="3">
        <f t="shared" si="12"/>
        <v>342720</v>
      </c>
      <c r="N303" s="3">
        <f t="shared" si="13"/>
        <v>161280</v>
      </c>
      <c r="O303" s="16">
        <f t="shared" si="14"/>
        <v>0.32</v>
      </c>
    </row>
    <row r="304" spans="1:15" x14ac:dyDescent="0.25">
      <c r="A304" s="1" t="s">
        <v>348</v>
      </c>
      <c r="B304" s="5">
        <v>46084</v>
      </c>
      <c r="C304" s="1" t="s">
        <v>26</v>
      </c>
      <c r="D304" s="1" t="s">
        <v>33</v>
      </c>
      <c r="E304" s="1" t="s">
        <v>3</v>
      </c>
      <c r="F304" s="1" t="s">
        <v>22</v>
      </c>
      <c r="G304" s="1" t="s">
        <v>23</v>
      </c>
      <c r="H304" s="1" t="s">
        <v>19</v>
      </c>
      <c r="I304" s="1">
        <v>28</v>
      </c>
      <c r="J304" s="3">
        <v>51300</v>
      </c>
      <c r="K304" s="3">
        <f>Tbl_Datos[[#This Row],[Unidades]]*Tbl_Datos[[#This Row],[Precio Unitario]]</f>
        <v>1436400</v>
      </c>
      <c r="L304" s="3" cm="1">
        <f t="array" ref="L304">_xlfn.IFS(F304="Camas",J304*68%,F304="Comederos",J304*60%,F304="Higiene",J304*55%,F304="Juguetes",J304*62%,F304="Transporte",J304*72%)</f>
        <v>36936</v>
      </c>
      <c r="M304" s="3">
        <f t="shared" si="12"/>
        <v>1034208</v>
      </c>
      <c r="N304" s="3">
        <f t="shared" si="13"/>
        <v>402192</v>
      </c>
      <c r="O304" s="16">
        <f t="shared" si="14"/>
        <v>0.28000000000000003</v>
      </c>
    </row>
    <row r="305" spans="1:15" x14ac:dyDescent="0.25">
      <c r="A305" s="1" t="s">
        <v>349</v>
      </c>
      <c r="B305" s="5">
        <v>46177</v>
      </c>
      <c r="C305" s="1" t="s">
        <v>45</v>
      </c>
      <c r="D305" s="1" t="s">
        <v>15</v>
      </c>
      <c r="E305" s="1" t="s">
        <v>36</v>
      </c>
      <c r="F305" s="1" t="s">
        <v>22</v>
      </c>
      <c r="G305" s="1" t="s">
        <v>55</v>
      </c>
      <c r="H305" s="1" t="s">
        <v>19</v>
      </c>
      <c r="I305" s="1">
        <v>11</v>
      </c>
      <c r="J305" s="3">
        <v>38800</v>
      </c>
      <c r="K305" s="3">
        <f>Tbl_Datos[[#This Row],[Unidades]]*Tbl_Datos[[#This Row],[Precio Unitario]]</f>
        <v>426800</v>
      </c>
      <c r="L305" s="3" cm="1">
        <f t="array" ref="L305">_xlfn.IFS(F305="Camas",J305*68%,F305="Comederos",J305*60%,F305="Higiene",J305*55%,F305="Juguetes",J305*62%,F305="Transporte",J305*72%)</f>
        <v>27936</v>
      </c>
      <c r="M305" s="3">
        <f t="shared" si="12"/>
        <v>307296</v>
      </c>
      <c r="N305" s="3">
        <f t="shared" si="13"/>
        <v>119504</v>
      </c>
      <c r="O305" s="16">
        <f t="shared" si="14"/>
        <v>0.28000000000000003</v>
      </c>
    </row>
    <row r="306" spans="1:15" x14ac:dyDescent="0.25">
      <c r="A306" s="1" t="s">
        <v>350</v>
      </c>
      <c r="B306" s="5">
        <v>46186</v>
      </c>
      <c r="C306" s="1" t="s">
        <v>45</v>
      </c>
      <c r="D306" s="1" t="s">
        <v>15</v>
      </c>
      <c r="E306" s="1" t="s">
        <v>3</v>
      </c>
      <c r="F306" s="1" t="s">
        <v>22</v>
      </c>
      <c r="G306" s="1" t="s">
        <v>55</v>
      </c>
      <c r="H306" s="1" t="s">
        <v>19</v>
      </c>
      <c r="I306" s="1">
        <v>24</v>
      </c>
      <c r="J306" s="3">
        <v>37500</v>
      </c>
      <c r="K306" s="3">
        <f>Tbl_Datos[[#This Row],[Unidades]]*Tbl_Datos[[#This Row],[Precio Unitario]]</f>
        <v>900000</v>
      </c>
      <c r="L306" s="3" cm="1">
        <f t="array" ref="L306">_xlfn.IFS(F306="Camas",J306*68%,F306="Comederos",J306*60%,F306="Higiene",J306*55%,F306="Juguetes",J306*62%,F306="Transporte",J306*72%)</f>
        <v>27000</v>
      </c>
      <c r="M306" s="3">
        <f t="shared" si="12"/>
        <v>648000</v>
      </c>
      <c r="N306" s="3">
        <f t="shared" si="13"/>
        <v>252000</v>
      </c>
      <c r="O306" s="16">
        <f t="shared" si="14"/>
        <v>0.28000000000000003</v>
      </c>
    </row>
    <row r="307" spans="1:15" x14ac:dyDescent="0.25">
      <c r="A307" s="1" t="s">
        <v>351</v>
      </c>
      <c r="B307" s="5">
        <v>46099</v>
      </c>
      <c r="C307" s="1" t="s">
        <v>26</v>
      </c>
      <c r="D307" s="1" t="s">
        <v>9</v>
      </c>
      <c r="E307" s="1" t="s">
        <v>3</v>
      </c>
      <c r="F307" s="1" t="s">
        <v>4</v>
      </c>
      <c r="G307" s="1" t="s">
        <v>5</v>
      </c>
      <c r="H307" s="1" t="s">
        <v>6</v>
      </c>
      <c r="I307" s="1">
        <v>13</v>
      </c>
      <c r="J307" s="3">
        <v>6000</v>
      </c>
      <c r="K307" s="3">
        <f>Tbl_Datos[[#This Row],[Unidades]]*Tbl_Datos[[#This Row],[Precio Unitario]]</f>
        <v>78000</v>
      </c>
      <c r="L307" s="3" cm="1">
        <f t="array" ref="L307">_xlfn.IFS(F307="Camas",J307*68%,F307="Comederos",J307*60%,F307="Higiene",J307*55%,F307="Juguetes",J307*62%,F307="Transporte",J307*72%)</f>
        <v>3600</v>
      </c>
      <c r="M307" s="3">
        <f t="shared" si="12"/>
        <v>46800</v>
      </c>
      <c r="N307" s="3">
        <f t="shared" si="13"/>
        <v>31200</v>
      </c>
      <c r="O307" s="16">
        <f t="shared" si="14"/>
        <v>0.4</v>
      </c>
    </row>
    <row r="308" spans="1:15" x14ac:dyDescent="0.25">
      <c r="A308" s="1" t="s">
        <v>352</v>
      </c>
      <c r="B308" s="5">
        <v>46027</v>
      </c>
      <c r="C308" s="1" t="s">
        <v>32</v>
      </c>
      <c r="D308" s="1" t="s">
        <v>27</v>
      </c>
      <c r="E308" s="1" t="s">
        <v>3</v>
      </c>
      <c r="F308" s="1" t="s">
        <v>22</v>
      </c>
      <c r="G308" s="1" t="s">
        <v>23</v>
      </c>
      <c r="H308" s="1" t="s">
        <v>19</v>
      </c>
      <c r="I308" s="1">
        <v>49</v>
      </c>
      <c r="J308" s="3">
        <v>51100</v>
      </c>
      <c r="K308" s="3">
        <f>Tbl_Datos[[#This Row],[Unidades]]*Tbl_Datos[[#This Row],[Precio Unitario]]</f>
        <v>2503900</v>
      </c>
      <c r="L308" s="3" cm="1">
        <f t="array" ref="L308">_xlfn.IFS(F308="Camas",J308*68%,F308="Comederos",J308*60%,F308="Higiene",J308*55%,F308="Juguetes",J308*62%,F308="Transporte",J308*72%)</f>
        <v>36792</v>
      </c>
      <c r="M308" s="3">
        <f t="shared" si="12"/>
        <v>1802808</v>
      </c>
      <c r="N308" s="3">
        <f t="shared" si="13"/>
        <v>701092</v>
      </c>
      <c r="O308" s="16">
        <f t="shared" si="14"/>
        <v>0.28000000000000003</v>
      </c>
    </row>
    <row r="309" spans="1:15" x14ac:dyDescent="0.25">
      <c r="A309" s="1" t="s">
        <v>353</v>
      </c>
      <c r="B309" s="5">
        <v>46160</v>
      </c>
      <c r="C309" s="1" t="s">
        <v>14</v>
      </c>
      <c r="D309" s="1" t="s">
        <v>2</v>
      </c>
      <c r="E309" s="1" t="s">
        <v>53</v>
      </c>
      <c r="F309" s="1" t="s">
        <v>22</v>
      </c>
      <c r="G309" s="1" t="s">
        <v>23</v>
      </c>
      <c r="H309" s="1" t="s">
        <v>19</v>
      </c>
      <c r="I309" s="1">
        <v>24</v>
      </c>
      <c r="J309" s="3">
        <v>46000</v>
      </c>
      <c r="K309" s="3">
        <f>Tbl_Datos[[#This Row],[Unidades]]*Tbl_Datos[[#This Row],[Precio Unitario]]</f>
        <v>1104000</v>
      </c>
      <c r="L309" s="3" cm="1">
        <f t="array" ref="L309">_xlfn.IFS(F309="Camas",J309*68%,F309="Comederos",J309*60%,F309="Higiene",J309*55%,F309="Juguetes",J309*62%,F309="Transporte",J309*72%)</f>
        <v>33120</v>
      </c>
      <c r="M309" s="3">
        <f t="shared" si="12"/>
        <v>794880</v>
      </c>
      <c r="N309" s="3">
        <f t="shared" si="13"/>
        <v>309120</v>
      </c>
      <c r="O309" s="16">
        <f t="shared" si="14"/>
        <v>0.28000000000000003</v>
      </c>
    </row>
    <row r="310" spans="1:15" x14ac:dyDescent="0.25">
      <c r="A310" s="1" t="s">
        <v>354</v>
      </c>
      <c r="B310" s="5">
        <v>46175</v>
      </c>
      <c r="C310" s="1" t="s">
        <v>45</v>
      </c>
      <c r="D310" s="1" t="s">
        <v>9</v>
      </c>
      <c r="E310" s="1" t="s">
        <v>53</v>
      </c>
      <c r="F310" s="1" t="s">
        <v>42</v>
      </c>
      <c r="G310" s="1" t="s">
        <v>43</v>
      </c>
      <c r="H310" s="1" t="s">
        <v>19</v>
      </c>
      <c r="I310" s="1">
        <v>27</v>
      </c>
      <c r="J310" s="3">
        <v>12900</v>
      </c>
      <c r="K310" s="3">
        <f>Tbl_Datos[[#This Row],[Unidades]]*Tbl_Datos[[#This Row],[Precio Unitario]]</f>
        <v>348300</v>
      </c>
      <c r="L310" s="3" cm="1">
        <f t="array" ref="L310">_xlfn.IFS(F310="Camas",J310*68%,F310="Comederos",J310*60%,F310="Higiene",J310*55%,F310="Juguetes",J310*62%,F310="Transporte",J310*72%)</f>
        <v>7095.0000000000009</v>
      </c>
      <c r="M310" s="3">
        <f t="shared" si="12"/>
        <v>191565.00000000003</v>
      </c>
      <c r="N310" s="3">
        <f t="shared" si="13"/>
        <v>156734.99999999997</v>
      </c>
      <c r="O310" s="16">
        <f t="shared" si="14"/>
        <v>0.4499999999999999</v>
      </c>
    </row>
    <row r="311" spans="1:15" x14ac:dyDescent="0.25">
      <c r="A311" s="1" t="s">
        <v>355</v>
      </c>
      <c r="B311" s="5">
        <v>46088</v>
      </c>
      <c r="C311" s="1" t="s">
        <v>26</v>
      </c>
      <c r="D311" s="1" t="s">
        <v>21</v>
      </c>
      <c r="E311" s="1" t="s">
        <v>10</v>
      </c>
      <c r="F311" s="1" t="s">
        <v>22</v>
      </c>
      <c r="G311" s="1" t="s">
        <v>40</v>
      </c>
      <c r="H311" s="1" t="s">
        <v>6</v>
      </c>
      <c r="I311" s="1">
        <v>33</v>
      </c>
      <c r="J311" s="3">
        <v>28900</v>
      </c>
      <c r="K311" s="3">
        <f>Tbl_Datos[[#This Row],[Unidades]]*Tbl_Datos[[#This Row],[Precio Unitario]]</f>
        <v>953700</v>
      </c>
      <c r="L311" s="3" cm="1">
        <f t="array" ref="L311">_xlfn.IFS(F311="Camas",J311*68%,F311="Comederos",J311*60%,F311="Higiene",J311*55%,F311="Juguetes",J311*62%,F311="Transporte",J311*72%)</f>
        <v>20808</v>
      </c>
      <c r="M311" s="3">
        <f t="shared" si="12"/>
        <v>686664</v>
      </c>
      <c r="N311" s="3">
        <f t="shared" si="13"/>
        <v>267036</v>
      </c>
      <c r="O311" s="16">
        <f t="shared" si="14"/>
        <v>0.28000000000000003</v>
      </c>
    </row>
    <row r="312" spans="1:15" x14ac:dyDescent="0.25">
      <c r="A312" s="1" t="s">
        <v>356</v>
      </c>
      <c r="B312" s="5">
        <v>46174</v>
      </c>
      <c r="C312" s="1" t="s">
        <v>45</v>
      </c>
      <c r="D312" s="1" t="s">
        <v>2</v>
      </c>
      <c r="E312" s="1" t="s">
        <v>16</v>
      </c>
      <c r="F312" s="1" t="s">
        <v>17</v>
      </c>
      <c r="G312" s="1" t="s">
        <v>58</v>
      </c>
      <c r="H312" s="1" t="s">
        <v>24</v>
      </c>
      <c r="I312" s="1">
        <v>34</v>
      </c>
      <c r="J312" s="3">
        <v>4200</v>
      </c>
      <c r="K312" s="3">
        <f>Tbl_Datos[[#This Row],[Unidades]]*Tbl_Datos[[#This Row],[Precio Unitario]]</f>
        <v>142800</v>
      </c>
      <c r="L312" s="3" cm="1">
        <f t="array" ref="L312">_xlfn.IFS(F312="Camas",J312*68%,F312="Comederos",J312*60%,F312="Higiene",J312*55%,F312="Juguetes",J312*62%,F312="Transporte",J312*72%)</f>
        <v>2604</v>
      </c>
      <c r="M312" s="3">
        <f t="shared" si="12"/>
        <v>88536</v>
      </c>
      <c r="N312" s="3">
        <f t="shared" si="13"/>
        <v>54264</v>
      </c>
      <c r="O312" s="16">
        <f t="shared" si="14"/>
        <v>0.38</v>
      </c>
    </row>
    <row r="313" spans="1:15" x14ac:dyDescent="0.25">
      <c r="A313" s="1" t="s">
        <v>357</v>
      </c>
      <c r="B313" s="5">
        <v>46244</v>
      </c>
      <c r="C313" s="1" t="s">
        <v>8</v>
      </c>
      <c r="D313" s="1" t="s">
        <v>33</v>
      </c>
      <c r="E313" s="1" t="s">
        <v>10</v>
      </c>
      <c r="F313" s="1" t="s">
        <v>42</v>
      </c>
      <c r="G313" s="1" t="s">
        <v>125</v>
      </c>
      <c r="H313" s="1" t="s">
        <v>19</v>
      </c>
      <c r="I313" s="1">
        <v>10</v>
      </c>
      <c r="J313" s="3">
        <v>8100</v>
      </c>
      <c r="K313" s="3">
        <f>Tbl_Datos[[#This Row],[Unidades]]*Tbl_Datos[[#This Row],[Precio Unitario]]</f>
        <v>81000</v>
      </c>
      <c r="L313" s="3" cm="1">
        <f t="array" ref="L313">_xlfn.IFS(F313="Camas",J313*68%,F313="Comederos",J313*60%,F313="Higiene",J313*55%,F313="Juguetes",J313*62%,F313="Transporte",J313*72%)</f>
        <v>4455</v>
      </c>
      <c r="M313" s="3">
        <f t="shared" si="12"/>
        <v>44550</v>
      </c>
      <c r="N313" s="3">
        <f t="shared" si="13"/>
        <v>36450</v>
      </c>
      <c r="O313" s="16">
        <f t="shared" si="14"/>
        <v>0.45</v>
      </c>
    </row>
    <row r="314" spans="1:15" x14ac:dyDescent="0.25">
      <c r="A314" s="1" t="s">
        <v>358</v>
      </c>
      <c r="B314" s="5">
        <v>46031</v>
      </c>
      <c r="C314" s="1" t="s">
        <v>32</v>
      </c>
      <c r="D314" s="1" t="s">
        <v>9</v>
      </c>
      <c r="E314" s="1" t="s">
        <v>53</v>
      </c>
      <c r="F314" s="1" t="s">
        <v>22</v>
      </c>
      <c r="G314" s="1" t="s">
        <v>40</v>
      </c>
      <c r="H314" s="1" t="s">
        <v>19</v>
      </c>
      <c r="I314" s="1">
        <v>16</v>
      </c>
      <c r="J314" s="3">
        <v>27600</v>
      </c>
      <c r="K314" s="3">
        <f>Tbl_Datos[[#This Row],[Unidades]]*Tbl_Datos[[#This Row],[Precio Unitario]]</f>
        <v>441600</v>
      </c>
      <c r="L314" s="3" cm="1">
        <f t="array" ref="L314">_xlfn.IFS(F314="Camas",J314*68%,F314="Comederos",J314*60%,F314="Higiene",J314*55%,F314="Juguetes",J314*62%,F314="Transporte",J314*72%)</f>
        <v>19872</v>
      </c>
      <c r="M314" s="3">
        <f t="shared" si="12"/>
        <v>317952</v>
      </c>
      <c r="N314" s="3">
        <f t="shared" si="13"/>
        <v>123648</v>
      </c>
      <c r="O314" s="16">
        <f t="shared" si="14"/>
        <v>0.28000000000000003</v>
      </c>
    </row>
    <row r="315" spans="1:15" x14ac:dyDescent="0.25">
      <c r="A315" s="1" t="s">
        <v>359</v>
      </c>
      <c r="B315" s="5">
        <v>46223</v>
      </c>
      <c r="C315" s="1" t="s">
        <v>52</v>
      </c>
      <c r="D315" s="1" t="s">
        <v>33</v>
      </c>
      <c r="E315" s="1" t="s">
        <v>3</v>
      </c>
      <c r="F315" s="1" t="s">
        <v>22</v>
      </c>
      <c r="G315" s="1" t="s">
        <v>55</v>
      </c>
      <c r="H315" s="1" t="s">
        <v>19</v>
      </c>
      <c r="I315" s="1">
        <v>31</v>
      </c>
      <c r="J315" s="3">
        <v>36000</v>
      </c>
      <c r="K315" s="3">
        <f>Tbl_Datos[[#This Row],[Unidades]]*Tbl_Datos[[#This Row],[Precio Unitario]]</f>
        <v>1116000</v>
      </c>
      <c r="L315" s="3" cm="1">
        <f t="array" ref="L315">_xlfn.IFS(F315="Camas",J315*68%,F315="Comederos",J315*60%,F315="Higiene",J315*55%,F315="Juguetes",J315*62%,F315="Transporte",J315*72%)</f>
        <v>25920</v>
      </c>
      <c r="M315" s="3">
        <f t="shared" si="12"/>
        <v>803520</v>
      </c>
      <c r="N315" s="3">
        <f t="shared" si="13"/>
        <v>312480</v>
      </c>
      <c r="O315" s="16">
        <f t="shared" si="14"/>
        <v>0.28000000000000003</v>
      </c>
    </row>
    <row r="316" spans="1:15" x14ac:dyDescent="0.25">
      <c r="A316" s="1" t="s">
        <v>360</v>
      </c>
      <c r="B316" s="5">
        <v>46174</v>
      </c>
      <c r="C316" s="1" t="s">
        <v>45</v>
      </c>
      <c r="D316" s="1" t="s">
        <v>33</v>
      </c>
      <c r="E316" s="1" t="s">
        <v>3</v>
      </c>
      <c r="F316" s="1" t="s">
        <v>42</v>
      </c>
      <c r="G316" s="1" t="s">
        <v>65</v>
      </c>
      <c r="H316" s="1" t="s">
        <v>19</v>
      </c>
      <c r="I316" s="1">
        <v>54</v>
      </c>
      <c r="J316" s="3">
        <v>6300</v>
      </c>
      <c r="K316" s="3">
        <f>Tbl_Datos[[#This Row],[Unidades]]*Tbl_Datos[[#This Row],[Precio Unitario]]</f>
        <v>340200</v>
      </c>
      <c r="L316" s="3" cm="1">
        <f t="array" ref="L316">_xlfn.IFS(F316="Camas",J316*68%,F316="Comederos",J316*60%,F316="Higiene",J316*55%,F316="Juguetes",J316*62%,F316="Transporte",J316*72%)</f>
        <v>3465.0000000000005</v>
      </c>
      <c r="M316" s="3">
        <f t="shared" si="12"/>
        <v>187110.00000000003</v>
      </c>
      <c r="N316" s="3">
        <f t="shared" si="13"/>
        <v>153089.99999999997</v>
      </c>
      <c r="O316" s="16">
        <f t="shared" si="14"/>
        <v>0.4499999999999999</v>
      </c>
    </row>
    <row r="317" spans="1:15" x14ac:dyDescent="0.25">
      <c r="A317" s="1" t="s">
        <v>361</v>
      </c>
      <c r="B317" s="5">
        <v>46227</v>
      </c>
      <c r="C317" s="1" t="s">
        <v>52</v>
      </c>
      <c r="D317" s="1" t="s">
        <v>21</v>
      </c>
      <c r="E317" s="1" t="s">
        <v>3</v>
      </c>
      <c r="F317" s="1" t="s">
        <v>4</v>
      </c>
      <c r="G317" s="1" t="s">
        <v>34</v>
      </c>
      <c r="H317" s="1" t="s">
        <v>19</v>
      </c>
      <c r="I317" s="1">
        <v>35</v>
      </c>
      <c r="J317" s="3">
        <v>3800</v>
      </c>
      <c r="K317" s="3">
        <f>Tbl_Datos[[#This Row],[Unidades]]*Tbl_Datos[[#This Row],[Precio Unitario]]</f>
        <v>133000</v>
      </c>
      <c r="L317" s="3" cm="1">
        <f t="array" ref="L317">_xlfn.IFS(F317="Camas",J317*68%,F317="Comederos",J317*60%,F317="Higiene",J317*55%,F317="Juguetes",J317*62%,F317="Transporte",J317*72%)</f>
        <v>2280</v>
      </c>
      <c r="M317" s="3">
        <f t="shared" si="12"/>
        <v>79800</v>
      </c>
      <c r="N317" s="3">
        <f t="shared" si="13"/>
        <v>53200</v>
      </c>
      <c r="O317" s="16">
        <f t="shared" si="14"/>
        <v>0.4</v>
      </c>
    </row>
    <row r="318" spans="1:15" x14ac:dyDescent="0.25">
      <c r="A318" s="1" t="s">
        <v>362</v>
      </c>
      <c r="B318" s="5">
        <v>46032</v>
      </c>
      <c r="C318" s="1" t="s">
        <v>32</v>
      </c>
      <c r="D318" s="1" t="s">
        <v>15</v>
      </c>
      <c r="E318" s="1" t="s">
        <v>53</v>
      </c>
      <c r="F318" s="1" t="s">
        <v>11</v>
      </c>
      <c r="G318" s="1" t="s">
        <v>28</v>
      </c>
      <c r="H318" s="1" t="s">
        <v>6</v>
      </c>
      <c r="I318" s="1">
        <v>24</v>
      </c>
      <c r="J318" s="3">
        <v>15400</v>
      </c>
      <c r="K318" s="3">
        <f>Tbl_Datos[[#This Row],[Unidades]]*Tbl_Datos[[#This Row],[Precio Unitario]]</f>
        <v>369600</v>
      </c>
      <c r="L318" s="3" cm="1">
        <f t="array" ref="L318">_xlfn.IFS(F318="Camas",J318*68%,F318="Comederos",J318*60%,F318="Higiene",J318*55%,F318="Juguetes",J318*62%,F318="Transporte",J318*72%)</f>
        <v>10472</v>
      </c>
      <c r="M318" s="3">
        <f t="shared" si="12"/>
        <v>251328</v>
      </c>
      <c r="N318" s="3">
        <f t="shared" si="13"/>
        <v>118272</v>
      </c>
      <c r="O318" s="16">
        <f t="shared" si="14"/>
        <v>0.32</v>
      </c>
    </row>
    <row r="319" spans="1:15" x14ac:dyDescent="0.25">
      <c r="A319" s="1" t="s">
        <v>363</v>
      </c>
      <c r="B319" s="5">
        <v>46229</v>
      </c>
      <c r="C319" s="1" t="s">
        <v>52</v>
      </c>
      <c r="D319" s="1" t="s">
        <v>15</v>
      </c>
      <c r="E319" s="1" t="s">
        <v>53</v>
      </c>
      <c r="F319" s="1" t="s">
        <v>42</v>
      </c>
      <c r="G319" s="1" t="s">
        <v>49</v>
      </c>
      <c r="H319" s="1" t="s">
        <v>24</v>
      </c>
      <c r="I319" s="1">
        <v>66</v>
      </c>
      <c r="J319" s="3">
        <v>3400</v>
      </c>
      <c r="K319" s="3">
        <f>Tbl_Datos[[#This Row],[Unidades]]*Tbl_Datos[[#This Row],[Precio Unitario]]</f>
        <v>224400</v>
      </c>
      <c r="L319" s="3" cm="1">
        <f t="array" ref="L319">_xlfn.IFS(F319="Camas",J319*68%,F319="Comederos",J319*60%,F319="Higiene",J319*55%,F319="Juguetes",J319*62%,F319="Transporte",J319*72%)</f>
        <v>1870.0000000000002</v>
      </c>
      <c r="M319" s="3">
        <f t="shared" si="12"/>
        <v>123420.00000000001</v>
      </c>
      <c r="N319" s="3">
        <f t="shared" si="13"/>
        <v>100979.99999999999</v>
      </c>
      <c r="O319" s="16">
        <f t="shared" si="14"/>
        <v>0.44999999999999996</v>
      </c>
    </row>
    <row r="320" spans="1:15" x14ac:dyDescent="0.25">
      <c r="A320" s="1" t="s">
        <v>364</v>
      </c>
      <c r="B320" s="5">
        <v>46160</v>
      </c>
      <c r="C320" s="1" t="s">
        <v>14</v>
      </c>
      <c r="D320" s="1" t="s">
        <v>33</v>
      </c>
      <c r="E320" s="1" t="s">
        <v>10</v>
      </c>
      <c r="F320" s="1" t="s">
        <v>22</v>
      </c>
      <c r="G320" s="1" t="s">
        <v>55</v>
      </c>
      <c r="H320" s="1" t="s">
        <v>24</v>
      </c>
      <c r="I320" s="1">
        <v>45</v>
      </c>
      <c r="J320" s="3">
        <v>38200</v>
      </c>
      <c r="K320" s="3">
        <f>Tbl_Datos[[#This Row],[Unidades]]*Tbl_Datos[[#This Row],[Precio Unitario]]</f>
        <v>1719000</v>
      </c>
      <c r="L320" s="3" cm="1">
        <f t="array" ref="L320">_xlfn.IFS(F320="Camas",J320*68%,F320="Comederos",J320*60%,F320="Higiene",J320*55%,F320="Juguetes",J320*62%,F320="Transporte",J320*72%)</f>
        <v>27504</v>
      </c>
      <c r="M320" s="3">
        <f t="shared" si="12"/>
        <v>1237680</v>
      </c>
      <c r="N320" s="3">
        <f t="shared" si="13"/>
        <v>481320</v>
      </c>
      <c r="O320" s="16">
        <f t="shared" si="14"/>
        <v>0.28000000000000003</v>
      </c>
    </row>
    <row r="321" spans="1:15" x14ac:dyDescent="0.25">
      <c r="A321" s="1" t="s">
        <v>365</v>
      </c>
      <c r="B321" s="5">
        <v>46107</v>
      </c>
      <c r="C321" s="1" t="s">
        <v>26</v>
      </c>
      <c r="D321" s="1" t="s">
        <v>15</v>
      </c>
      <c r="E321" s="1" t="s">
        <v>3</v>
      </c>
      <c r="F321" s="1" t="s">
        <v>17</v>
      </c>
      <c r="G321" s="1" t="s">
        <v>58</v>
      </c>
      <c r="H321" s="1" t="s">
        <v>19</v>
      </c>
      <c r="I321" s="1">
        <v>26</v>
      </c>
      <c r="J321" s="3">
        <v>4400</v>
      </c>
      <c r="K321" s="3">
        <f>Tbl_Datos[[#This Row],[Unidades]]*Tbl_Datos[[#This Row],[Precio Unitario]]</f>
        <v>114400</v>
      </c>
      <c r="L321" s="3" cm="1">
        <f t="array" ref="L321">_xlfn.IFS(F321="Camas",J321*68%,F321="Comederos",J321*60%,F321="Higiene",J321*55%,F321="Juguetes",J321*62%,F321="Transporte",J321*72%)</f>
        <v>2728</v>
      </c>
      <c r="M321" s="3">
        <f t="shared" si="12"/>
        <v>70928</v>
      </c>
      <c r="N321" s="3">
        <f t="shared" si="13"/>
        <v>43472</v>
      </c>
      <c r="O321" s="16">
        <f t="shared" si="14"/>
        <v>0.38</v>
      </c>
    </row>
    <row r="322" spans="1:15" x14ac:dyDescent="0.25">
      <c r="A322" s="1" t="s">
        <v>366</v>
      </c>
      <c r="B322" s="5">
        <v>46110</v>
      </c>
      <c r="C322" s="1" t="s">
        <v>26</v>
      </c>
      <c r="D322" s="1" t="s">
        <v>2</v>
      </c>
      <c r="E322" s="1" t="s">
        <v>16</v>
      </c>
      <c r="F322" s="1" t="s">
        <v>22</v>
      </c>
      <c r="G322" s="1" t="s">
        <v>40</v>
      </c>
      <c r="H322" s="1" t="s">
        <v>19</v>
      </c>
      <c r="I322" s="1">
        <v>13</v>
      </c>
      <c r="J322" s="3">
        <v>28200</v>
      </c>
      <c r="K322" s="3">
        <f>Tbl_Datos[[#This Row],[Unidades]]*Tbl_Datos[[#This Row],[Precio Unitario]]</f>
        <v>366600</v>
      </c>
      <c r="L322" s="3" cm="1">
        <f t="array" ref="L322">_xlfn.IFS(F322="Camas",J322*68%,F322="Comederos",J322*60%,F322="Higiene",J322*55%,F322="Juguetes",J322*62%,F322="Transporte",J322*72%)</f>
        <v>20304</v>
      </c>
      <c r="M322" s="3">
        <f t="shared" ref="M322:M385" si="15">I322*L322</f>
        <v>263952</v>
      </c>
      <c r="N322" s="3">
        <f t="shared" ref="N322:N385" si="16">K322-M322</f>
        <v>102648</v>
      </c>
      <c r="O322" s="16">
        <f t="shared" ref="O322:O385" si="17">N322/K322</f>
        <v>0.28000000000000003</v>
      </c>
    </row>
    <row r="323" spans="1:15" x14ac:dyDescent="0.25">
      <c r="A323" s="1" t="s">
        <v>367</v>
      </c>
      <c r="B323" s="5">
        <v>46136</v>
      </c>
      <c r="C323" s="1" t="s">
        <v>47</v>
      </c>
      <c r="D323" s="1" t="s">
        <v>2</v>
      </c>
      <c r="E323" s="1" t="s">
        <v>36</v>
      </c>
      <c r="F323" s="1" t="s">
        <v>42</v>
      </c>
      <c r="G323" s="1" t="s">
        <v>125</v>
      </c>
      <c r="H323" s="1" t="s">
        <v>6</v>
      </c>
      <c r="I323" s="1">
        <v>20</v>
      </c>
      <c r="J323" s="3">
        <v>7300</v>
      </c>
      <c r="K323" s="3">
        <f>Tbl_Datos[[#This Row],[Unidades]]*Tbl_Datos[[#This Row],[Precio Unitario]]</f>
        <v>146000</v>
      </c>
      <c r="L323" s="3" cm="1">
        <f t="array" ref="L323">_xlfn.IFS(F323="Camas",J323*68%,F323="Comederos",J323*60%,F323="Higiene",J323*55%,F323="Juguetes",J323*62%,F323="Transporte",J323*72%)</f>
        <v>4015.0000000000005</v>
      </c>
      <c r="M323" s="3">
        <f t="shared" si="15"/>
        <v>80300.000000000015</v>
      </c>
      <c r="N323" s="3">
        <f t="shared" si="16"/>
        <v>65699.999999999985</v>
      </c>
      <c r="O323" s="16">
        <f t="shared" si="17"/>
        <v>0.4499999999999999</v>
      </c>
    </row>
    <row r="324" spans="1:15" x14ac:dyDescent="0.25">
      <c r="A324" s="1" t="s">
        <v>368</v>
      </c>
      <c r="B324" s="5">
        <v>46086</v>
      </c>
      <c r="C324" s="1" t="s">
        <v>26</v>
      </c>
      <c r="D324" s="1" t="s">
        <v>33</v>
      </c>
      <c r="E324" s="1" t="s">
        <v>3</v>
      </c>
      <c r="F324" s="1" t="s">
        <v>11</v>
      </c>
      <c r="G324" s="1" t="s">
        <v>30</v>
      </c>
      <c r="H324" s="1" t="s">
        <v>24</v>
      </c>
      <c r="I324" s="1">
        <v>24</v>
      </c>
      <c r="J324" s="3">
        <v>27600</v>
      </c>
      <c r="K324" s="3">
        <f>Tbl_Datos[[#This Row],[Unidades]]*Tbl_Datos[[#This Row],[Precio Unitario]]</f>
        <v>662400</v>
      </c>
      <c r="L324" s="3" cm="1">
        <f t="array" ref="L324">_xlfn.IFS(F324="Camas",J324*68%,F324="Comederos",J324*60%,F324="Higiene",J324*55%,F324="Juguetes",J324*62%,F324="Transporte",J324*72%)</f>
        <v>18768</v>
      </c>
      <c r="M324" s="3">
        <f t="shared" si="15"/>
        <v>450432</v>
      </c>
      <c r="N324" s="3">
        <f t="shared" si="16"/>
        <v>211968</v>
      </c>
      <c r="O324" s="16">
        <f t="shared" si="17"/>
        <v>0.32</v>
      </c>
    </row>
    <row r="325" spans="1:15" x14ac:dyDescent="0.25">
      <c r="A325" s="1" t="s">
        <v>369</v>
      </c>
      <c r="B325" s="5">
        <v>46201</v>
      </c>
      <c r="C325" s="1" t="s">
        <v>45</v>
      </c>
      <c r="D325" s="1" t="s">
        <v>21</v>
      </c>
      <c r="E325" s="1" t="s">
        <v>16</v>
      </c>
      <c r="F325" s="1" t="s">
        <v>42</v>
      </c>
      <c r="G325" s="1" t="s">
        <v>49</v>
      </c>
      <c r="H325" s="1" t="s">
        <v>6</v>
      </c>
      <c r="I325" s="1">
        <v>49</v>
      </c>
      <c r="J325" s="3">
        <v>3400</v>
      </c>
      <c r="K325" s="3">
        <f>Tbl_Datos[[#This Row],[Unidades]]*Tbl_Datos[[#This Row],[Precio Unitario]]</f>
        <v>166600</v>
      </c>
      <c r="L325" s="3" cm="1">
        <f t="array" ref="L325">_xlfn.IFS(F325="Camas",J325*68%,F325="Comederos",J325*60%,F325="Higiene",J325*55%,F325="Juguetes",J325*62%,F325="Transporte",J325*72%)</f>
        <v>1870.0000000000002</v>
      </c>
      <c r="M325" s="3">
        <f t="shared" si="15"/>
        <v>91630.000000000015</v>
      </c>
      <c r="N325" s="3">
        <f t="shared" si="16"/>
        <v>74969.999999999985</v>
      </c>
      <c r="O325" s="16">
        <f t="shared" si="17"/>
        <v>0.4499999999999999</v>
      </c>
    </row>
    <row r="326" spans="1:15" x14ac:dyDescent="0.25">
      <c r="A326" s="1" t="s">
        <v>370</v>
      </c>
      <c r="B326" s="5">
        <v>46085</v>
      </c>
      <c r="C326" s="1" t="s">
        <v>26</v>
      </c>
      <c r="D326" s="1" t="s">
        <v>21</v>
      </c>
      <c r="E326" s="1" t="s">
        <v>53</v>
      </c>
      <c r="F326" s="1" t="s">
        <v>4</v>
      </c>
      <c r="G326" s="1" t="s">
        <v>38</v>
      </c>
      <c r="H326" s="1" t="s">
        <v>19</v>
      </c>
      <c r="I326" s="1">
        <v>4</v>
      </c>
      <c r="J326" s="3">
        <v>7900</v>
      </c>
      <c r="K326" s="3">
        <f>Tbl_Datos[[#This Row],[Unidades]]*Tbl_Datos[[#This Row],[Precio Unitario]]</f>
        <v>31600</v>
      </c>
      <c r="L326" s="3" cm="1">
        <f t="array" ref="L326">_xlfn.IFS(F326="Camas",J326*68%,F326="Comederos",J326*60%,F326="Higiene",J326*55%,F326="Juguetes",J326*62%,F326="Transporte",J326*72%)</f>
        <v>4740</v>
      </c>
      <c r="M326" s="3">
        <f t="shared" si="15"/>
        <v>18960</v>
      </c>
      <c r="N326" s="3">
        <f t="shared" si="16"/>
        <v>12640</v>
      </c>
      <c r="O326" s="16">
        <f t="shared" si="17"/>
        <v>0.4</v>
      </c>
    </row>
    <row r="327" spans="1:15" x14ac:dyDescent="0.25">
      <c r="A327" s="1" t="s">
        <v>371</v>
      </c>
      <c r="B327" s="5">
        <v>46181</v>
      </c>
      <c r="C327" s="1" t="s">
        <v>45</v>
      </c>
      <c r="D327" s="1" t="s">
        <v>21</v>
      </c>
      <c r="E327" s="1" t="s">
        <v>3</v>
      </c>
      <c r="F327" s="1" t="s">
        <v>4</v>
      </c>
      <c r="G327" s="1" t="s">
        <v>5</v>
      </c>
      <c r="H327" s="1" t="s">
        <v>19</v>
      </c>
      <c r="I327" s="1">
        <v>46</v>
      </c>
      <c r="J327" s="3">
        <v>6500</v>
      </c>
      <c r="K327" s="3">
        <f>Tbl_Datos[[#This Row],[Unidades]]*Tbl_Datos[[#This Row],[Precio Unitario]]</f>
        <v>299000</v>
      </c>
      <c r="L327" s="3" cm="1">
        <f t="array" ref="L327">_xlfn.IFS(F327="Camas",J327*68%,F327="Comederos",J327*60%,F327="Higiene",J327*55%,F327="Juguetes",J327*62%,F327="Transporte",J327*72%)</f>
        <v>3900</v>
      </c>
      <c r="M327" s="3">
        <f t="shared" si="15"/>
        <v>179400</v>
      </c>
      <c r="N327" s="3">
        <f t="shared" si="16"/>
        <v>119600</v>
      </c>
      <c r="O327" s="16">
        <f t="shared" si="17"/>
        <v>0.4</v>
      </c>
    </row>
    <row r="328" spans="1:15" x14ac:dyDescent="0.25">
      <c r="A328" s="1" t="s">
        <v>372</v>
      </c>
      <c r="B328" s="5">
        <v>46063</v>
      </c>
      <c r="C328" s="1" t="s">
        <v>1</v>
      </c>
      <c r="D328" s="1" t="s">
        <v>9</v>
      </c>
      <c r="E328" s="1" t="s">
        <v>16</v>
      </c>
      <c r="F328" s="1" t="s">
        <v>4</v>
      </c>
      <c r="G328" s="1" t="s">
        <v>38</v>
      </c>
      <c r="H328" s="1" t="s">
        <v>19</v>
      </c>
      <c r="I328" s="1">
        <v>38</v>
      </c>
      <c r="J328" s="3">
        <v>7700</v>
      </c>
      <c r="K328" s="3">
        <f>Tbl_Datos[[#This Row],[Unidades]]*Tbl_Datos[[#This Row],[Precio Unitario]]</f>
        <v>292600</v>
      </c>
      <c r="L328" s="3" cm="1">
        <f t="array" ref="L328">_xlfn.IFS(F328="Camas",J328*68%,F328="Comederos",J328*60%,F328="Higiene",J328*55%,F328="Juguetes",J328*62%,F328="Transporte",J328*72%)</f>
        <v>4620</v>
      </c>
      <c r="M328" s="3">
        <f t="shared" si="15"/>
        <v>175560</v>
      </c>
      <c r="N328" s="3">
        <f t="shared" si="16"/>
        <v>117040</v>
      </c>
      <c r="O328" s="16">
        <f t="shared" si="17"/>
        <v>0.4</v>
      </c>
    </row>
    <row r="329" spans="1:15" x14ac:dyDescent="0.25">
      <c r="A329" s="1" t="s">
        <v>373</v>
      </c>
      <c r="B329" s="5">
        <v>46205</v>
      </c>
      <c r="C329" s="1" t="s">
        <v>52</v>
      </c>
      <c r="D329" s="1" t="s">
        <v>33</v>
      </c>
      <c r="E329" s="1" t="s">
        <v>3</v>
      </c>
      <c r="F329" s="1" t="s">
        <v>17</v>
      </c>
      <c r="G329" s="1" t="s">
        <v>18</v>
      </c>
      <c r="H329" s="1" t="s">
        <v>24</v>
      </c>
      <c r="I329" s="1">
        <v>57</v>
      </c>
      <c r="J329" s="3">
        <v>3000</v>
      </c>
      <c r="K329" s="3">
        <f>Tbl_Datos[[#This Row],[Unidades]]*Tbl_Datos[[#This Row],[Precio Unitario]]</f>
        <v>171000</v>
      </c>
      <c r="L329" s="3" cm="1">
        <f t="array" ref="L329">_xlfn.IFS(F329="Camas",J329*68%,F329="Comederos",J329*60%,F329="Higiene",J329*55%,F329="Juguetes",J329*62%,F329="Transporte",J329*72%)</f>
        <v>1860</v>
      </c>
      <c r="M329" s="3">
        <f t="shared" si="15"/>
        <v>106020</v>
      </c>
      <c r="N329" s="3">
        <f t="shared" si="16"/>
        <v>64980</v>
      </c>
      <c r="O329" s="16">
        <f t="shared" si="17"/>
        <v>0.38</v>
      </c>
    </row>
    <row r="330" spans="1:15" x14ac:dyDescent="0.25">
      <c r="A330" s="1" t="s">
        <v>374</v>
      </c>
      <c r="B330" s="5">
        <v>46027</v>
      </c>
      <c r="C330" s="1" t="s">
        <v>32</v>
      </c>
      <c r="D330" s="1" t="s">
        <v>15</v>
      </c>
      <c r="E330" s="1" t="s">
        <v>3</v>
      </c>
      <c r="F330" s="1" t="s">
        <v>22</v>
      </c>
      <c r="G330" s="1" t="s">
        <v>40</v>
      </c>
      <c r="H330" s="1" t="s">
        <v>19</v>
      </c>
      <c r="I330" s="1">
        <v>5</v>
      </c>
      <c r="J330" s="3">
        <v>29000</v>
      </c>
      <c r="K330" s="3">
        <f>Tbl_Datos[[#This Row],[Unidades]]*Tbl_Datos[[#This Row],[Precio Unitario]]</f>
        <v>145000</v>
      </c>
      <c r="L330" s="3" cm="1">
        <f t="array" ref="L330">_xlfn.IFS(F330="Camas",J330*68%,F330="Comederos",J330*60%,F330="Higiene",J330*55%,F330="Juguetes",J330*62%,F330="Transporte",J330*72%)</f>
        <v>20880</v>
      </c>
      <c r="M330" s="3">
        <f t="shared" si="15"/>
        <v>104400</v>
      </c>
      <c r="N330" s="3">
        <f t="shared" si="16"/>
        <v>40600</v>
      </c>
      <c r="O330" s="16">
        <f t="shared" si="17"/>
        <v>0.28000000000000003</v>
      </c>
    </row>
    <row r="331" spans="1:15" x14ac:dyDescent="0.25">
      <c r="A331" s="1" t="s">
        <v>375</v>
      </c>
      <c r="B331" s="5">
        <v>46060</v>
      </c>
      <c r="C331" s="1" t="s">
        <v>1</v>
      </c>
      <c r="D331" s="1" t="s">
        <v>33</v>
      </c>
      <c r="E331" s="1" t="s">
        <v>3</v>
      </c>
      <c r="F331" s="1" t="s">
        <v>4</v>
      </c>
      <c r="G331" s="1" t="s">
        <v>34</v>
      </c>
      <c r="H331" s="1" t="s">
        <v>19</v>
      </c>
      <c r="I331" s="1">
        <v>41</v>
      </c>
      <c r="J331" s="3">
        <v>3800</v>
      </c>
      <c r="K331" s="3">
        <f>Tbl_Datos[[#This Row],[Unidades]]*Tbl_Datos[[#This Row],[Precio Unitario]]</f>
        <v>155800</v>
      </c>
      <c r="L331" s="3" cm="1">
        <f t="array" ref="L331">_xlfn.IFS(F331="Camas",J331*68%,F331="Comederos",J331*60%,F331="Higiene",J331*55%,F331="Juguetes",J331*62%,F331="Transporte",J331*72%)</f>
        <v>2280</v>
      </c>
      <c r="M331" s="3">
        <f t="shared" si="15"/>
        <v>93480</v>
      </c>
      <c r="N331" s="3">
        <f t="shared" si="16"/>
        <v>62320</v>
      </c>
      <c r="O331" s="16">
        <f t="shared" si="17"/>
        <v>0.4</v>
      </c>
    </row>
    <row r="332" spans="1:15" x14ac:dyDescent="0.25">
      <c r="A332" s="1" t="s">
        <v>376</v>
      </c>
      <c r="B332" s="5">
        <v>46155</v>
      </c>
      <c r="C332" s="1" t="s">
        <v>14</v>
      </c>
      <c r="D332" s="1" t="s">
        <v>15</v>
      </c>
      <c r="E332" s="1" t="s">
        <v>16</v>
      </c>
      <c r="F332" s="1" t="s">
        <v>22</v>
      </c>
      <c r="G332" s="1" t="s">
        <v>55</v>
      </c>
      <c r="H332" s="1" t="s">
        <v>19</v>
      </c>
      <c r="I332" s="1">
        <v>50</v>
      </c>
      <c r="J332" s="3">
        <v>38700</v>
      </c>
      <c r="K332" s="3">
        <f>Tbl_Datos[[#This Row],[Unidades]]*Tbl_Datos[[#This Row],[Precio Unitario]]</f>
        <v>1935000</v>
      </c>
      <c r="L332" s="3" cm="1">
        <f t="array" ref="L332">_xlfn.IFS(F332="Camas",J332*68%,F332="Comederos",J332*60%,F332="Higiene",J332*55%,F332="Juguetes",J332*62%,F332="Transporte",J332*72%)</f>
        <v>27864</v>
      </c>
      <c r="M332" s="3">
        <f t="shared" si="15"/>
        <v>1393200</v>
      </c>
      <c r="N332" s="3">
        <f t="shared" si="16"/>
        <v>541800</v>
      </c>
      <c r="O332" s="16">
        <f t="shared" si="17"/>
        <v>0.28000000000000003</v>
      </c>
    </row>
    <row r="333" spans="1:15" x14ac:dyDescent="0.25">
      <c r="A333" s="1" t="s">
        <v>377</v>
      </c>
      <c r="B333" s="5">
        <v>46128</v>
      </c>
      <c r="C333" s="1" t="s">
        <v>47</v>
      </c>
      <c r="D333" s="1" t="s">
        <v>33</v>
      </c>
      <c r="E333" s="1" t="s">
        <v>16</v>
      </c>
      <c r="F333" s="1" t="s">
        <v>22</v>
      </c>
      <c r="G333" s="1" t="s">
        <v>55</v>
      </c>
      <c r="H333" s="1" t="s">
        <v>24</v>
      </c>
      <c r="I333" s="1">
        <v>37</v>
      </c>
      <c r="J333" s="3">
        <v>35500</v>
      </c>
      <c r="K333" s="3">
        <f>Tbl_Datos[[#This Row],[Unidades]]*Tbl_Datos[[#This Row],[Precio Unitario]]</f>
        <v>1313500</v>
      </c>
      <c r="L333" s="3" cm="1">
        <f t="array" ref="L333">_xlfn.IFS(F333="Camas",J333*68%,F333="Comederos",J333*60%,F333="Higiene",J333*55%,F333="Juguetes",J333*62%,F333="Transporte",J333*72%)</f>
        <v>25560</v>
      </c>
      <c r="M333" s="3">
        <f t="shared" si="15"/>
        <v>945720</v>
      </c>
      <c r="N333" s="3">
        <f t="shared" si="16"/>
        <v>367780</v>
      </c>
      <c r="O333" s="16">
        <f t="shared" si="17"/>
        <v>0.28000000000000003</v>
      </c>
    </row>
    <row r="334" spans="1:15" x14ac:dyDescent="0.25">
      <c r="A334" s="1" t="s">
        <v>378</v>
      </c>
      <c r="B334" s="5">
        <v>46070</v>
      </c>
      <c r="C334" s="1" t="s">
        <v>1</v>
      </c>
      <c r="D334" s="1" t="s">
        <v>2</v>
      </c>
      <c r="E334" s="1" t="s">
        <v>3</v>
      </c>
      <c r="F334" s="1" t="s">
        <v>17</v>
      </c>
      <c r="G334" s="1" t="s">
        <v>58</v>
      </c>
      <c r="H334" s="1" t="s">
        <v>6</v>
      </c>
      <c r="I334" s="1">
        <v>51</v>
      </c>
      <c r="J334" s="3">
        <v>4200</v>
      </c>
      <c r="K334" s="3">
        <f>Tbl_Datos[[#This Row],[Unidades]]*Tbl_Datos[[#This Row],[Precio Unitario]]</f>
        <v>214200</v>
      </c>
      <c r="L334" s="3" cm="1">
        <f t="array" ref="L334">_xlfn.IFS(F334="Camas",J334*68%,F334="Comederos",J334*60%,F334="Higiene",J334*55%,F334="Juguetes",J334*62%,F334="Transporte",J334*72%)</f>
        <v>2604</v>
      </c>
      <c r="M334" s="3">
        <f t="shared" si="15"/>
        <v>132804</v>
      </c>
      <c r="N334" s="3">
        <f t="shared" si="16"/>
        <v>81396</v>
      </c>
      <c r="O334" s="16">
        <f t="shared" si="17"/>
        <v>0.38</v>
      </c>
    </row>
    <row r="335" spans="1:15" x14ac:dyDescent="0.25">
      <c r="A335" s="1" t="s">
        <v>379</v>
      </c>
      <c r="B335" s="5">
        <v>46254</v>
      </c>
      <c r="C335" s="1" t="s">
        <v>8</v>
      </c>
      <c r="D335" s="1" t="s">
        <v>15</v>
      </c>
      <c r="E335" s="1" t="s">
        <v>53</v>
      </c>
      <c r="F335" s="1" t="s">
        <v>4</v>
      </c>
      <c r="G335" s="1" t="s">
        <v>34</v>
      </c>
      <c r="H335" s="1" t="s">
        <v>24</v>
      </c>
      <c r="I335" s="1">
        <v>41</v>
      </c>
      <c r="J335" s="3">
        <v>3900</v>
      </c>
      <c r="K335" s="3">
        <f>Tbl_Datos[[#This Row],[Unidades]]*Tbl_Datos[[#This Row],[Precio Unitario]]</f>
        <v>159900</v>
      </c>
      <c r="L335" s="3" cm="1">
        <f t="array" ref="L335">_xlfn.IFS(F335="Camas",J335*68%,F335="Comederos",J335*60%,F335="Higiene",J335*55%,F335="Juguetes",J335*62%,F335="Transporte",J335*72%)</f>
        <v>2340</v>
      </c>
      <c r="M335" s="3">
        <f t="shared" si="15"/>
        <v>95940</v>
      </c>
      <c r="N335" s="3">
        <f t="shared" si="16"/>
        <v>63960</v>
      </c>
      <c r="O335" s="16">
        <f t="shared" si="17"/>
        <v>0.4</v>
      </c>
    </row>
    <row r="336" spans="1:15" x14ac:dyDescent="0.25">
      <c r="A336" s="1" t="s">
        <v>380</v>
      </c>
      <c r="B336" s="5">
        <v>46188</v>
      </c>
      <c r="C336" s="1" t="s">
        <v>45</v>
      </c>
      <c r="D336" s="1" t="s">
        <v>2</v>
      </c>
      <c r="E336" s="1" t="s">
        <v>10</v>
      </c>
      <c r="F336" s="1" t="s">
        <v>17</v>
      </c>
      <c r="G336" s="1" t="s">
        <v>68</v>
      </c>
      <c r="H336" s="1" t="s">
        <v>19</v>
      </c>
      <c r="I336" s="1">
        <v>48</v>
      </c>
      <c r="J336" s="3">
        <v>5400</v>
      </c>
      <c r="K336" s="3">
        <f>Tbl_Datos[[#This Row],[Unidades]]*Tbl_Datos[[#This Row],[Precio Unitario]]</f>
        <v>259200</v>
      </c>
      <c r="L336" s="3" cm="1">
        <f t="array" ref="L336">_xlfn.IFS(F336="Camas",J336*68%,F336="Comederos",J336*60%,F336="Higiene",J336*55%,F336="Juguetes",J336*62%,F336="Transporte",J336*72%)</f>
        <v>3348</v>
      </c>
      <c r="M336" s="3">
        <f t="shared" si="15"/>
        <v>160704</v>
      </c>
      <c r="N336" s="3">
        <f t="shared" si="16"/>
        <v>98496</v>
      </c>
      <c r="O336" s="16">
        <f t="shared" si="17"/>
        <v>0.38</v>
      </c>
    </row>
    <row r="337" spans="1:15" x14ac:dyDescent="0.25">
      <c r="A337" s="1" t="s">
        <v>381</v>
      </c>
      <c r="B337" s="5">
        <v>46025</v>
      </c>
      <c r="C337" s="1" t="s">
        <v>32</v>
      </c>
      <c r="D337" s="1" t="s">
        <v>33</v>
      </c>
      <c r="E337" s="1" t="s">
        <v>53</v>
      </c>
      <c r="F337" s="1" t="s">
        <v>17</v>
      </c>
      <c r="G337" s="1" t="s">
        <v>74</v>
      </c>
      <c r="H337" s="1" t="s">
        <v>19</v>
      </c>
      <c r="I337" s="1">
        <v>22</v>
      </c>
      <c r="J337" s="3">
        <v>9700</v>
      </c>
      <c r="K337" s="3">
        <f>Tbl_Datos[[#This Row],[Unidades]]*Tbl_Datos[[#This Row],[Precio Unitario]]</f>
        <v>213400</v>
      </c>
      <c r="L337" s="3" cm="1">
        <f t="array" ref="L337">_xlfn.IFS(F337="Camas",J337*68%,F337="Comederos",J337*60%,F337="Higiene",J337*55%,F337="Juguetes",J337*62%,F337="Transporte",J337*72%)</f>
        <v>6014</v>
      </c>
      <c r="M337" s="3">
        <f t="shared" si="15"/>
        <v>132308</v>
      </c>
      <c r="N337" s="3">
        <f t="shared" si="16"/>
        <v>81092</v>
      </c>
      <c r="O337" s="16">
        <f t="shared" si="17"/>
        <v>0.38</v>
      </c>
    </row>
    <row r="338" spans="1:15" x14ac:dyDescent="0.25">
      <c r="A338" s="1" t="s">
        <v>382</v>
      </c>
      <c r="B338" s="5">
        <v>46234</v>
      </c>
      <c r="C338" s="1" t="s">
        <v>52</v>
      </c>
      <c r="D338" s="1" t="s">
        <v>27</v>
      </c>
      <c r="E338" s="1" t="s">
        <v>16</v>
      </c>
      <c r="F338" s="1" t="s">
        <v>42</v>
      </c>
      <c r="G338" s="1" t="s">
        <v>43</v>
      </c>
      <c r="H338" s="1" t="s">
        <v>6</v>
      </c>
      <c r="I338" s="1">
        <v>7</v>
      </c>
      <c r="J338" s="3">
        <v>12700</v>
      </c>
      <c r="K338" s="3">
        <f>Tbl_Datos[[#This Row],[Unidades]]*Tbl_Datos[[#This Row],[Precio Unitario]]</f>
        <v>88900</v>
      </c>
      <c r="L338" s="3" cm="1">
        <f t="array" ref="L338">_xlfn.IFS(F338="Camas",J338*68%,F338="Comederos",J338*60%,F338="Higiene",J338*55%,F338="Juguetes",J338*62%,F338="Transporte",J338*72%)</f>
        <v>6985.0000000000009</v>
      </c>
      <c r="M338" s="3">
        <f t="shared" si="15"/>
        <v>48895.000000000007</v>
      </c>
      <c r="N338" s="3">
        <f t="shared" si="16"/>
        <v>40004.999999999993</v>
      </c>
      <c r="O338" s="16">
        <f t="shared" si="17"/>
        <v>0.4499999999999999</v>
      </c>
    </row>
    <row r="339" spans="1:15" x14ac:dyDescent="0.25">
      <c r="A339" s="1" t="s">
        <v>383</v>
      </c>
      <c r="B339" s="5">
        <v>46107</v>
      </c>
      <c r="C339" s="1" t="s">
        <v>26</v>
      </c>
      <c r="D339" s="1" t="s">
        <v>2</v>
      </c>
      <c r="E339" s="1" t="s">
        <v>36</v>
      </c>
      <c r="F339" s="1" t="s">
        <v>22</v>
      </c>
      <c r="G339" s="1" t="s">
        <v>55</v>
      </c>
      <c r="H339" s="1" t="s">
        <v>19</v>
      </c>
      <c r="I339" s="1">
        <v>4</v>
      </c>
      <c r="J339" s="3">
        <v>37200</v>
      </c>
      <c r="K339" s="3">
        <f>Tbl_Datos[[#This Row],[Unidades]]*Tbl_Datos[[#This Row],[Precio Unitario]]</f>
        <v>148800</v>
      </c>
      <c r="L339" s="3" cm="1">
        <f t="array" ref="L339">_xlfn.IFS(F339="Camas",J339*68%,F339="Comederos",J339*60%,F339="Higiene",J339*55%,F339="Juguetes",J339*62%,F339="Transporte",J339*72%)</f>
        <v>26784</v>
      </c>
      <c r="M339" s="3">
        <f t="shared" si="15"/>
        <v>107136</v>
      </c>
      <c r="N339" s="3">
        <f t="shared" si="16"/>
        <v>41664</v>
      </c>
      <c r="O339" s="16">
        <f t="shared" si="17"/>
        <v>0.28000000000000003</v>
      </c>
    </row>
    <row r="340" spans="1:15" x14ac:dyDescent="0.25">
      <c r="A340" s="1" t="s">
        <v>384</v>
      </c>
      <c r="B340" s="5">
        <v>46040</v>
      </c>
      <c r="C340" s="1" t="s">
        <v>32</v>
      </c>
      <c r="D340" s="1" t="s">
        <v>21</v>
      </c>
      <c r="E340" s="1" t="s">
        <v>10</v>
      </c>
      <c r="F340" s="1" t="s">
        <v>11</v>
      </c>
      <c r="G340" s="1" t="s">
        <v>28</v>
      </c>
      <c r="H340" s="1" t="s">
        <v>19</v>
      </c>
      <c r="I340" s="1">
        <v>55</v>
      </c>
      <c r="J340" s="3">
        <v>14100</v>
      </c>
      <c r="K340" s="3">
        <f>Tbl_Datos[[#This Row],[Unidades]]*Tbl_Datos[[#This Row],[Precio Unitario]]</f>
        <v>775500</v>
      </c>
      <c r="L340" s="3" cm="1">
        <f t="array" ref="L340">_xlfn.IFS(F340="Camas",J340*68%,F340="Comederos",J340*60%,F340="Higiene",J340*55%,F340="Juguetes",J340*62%,F340="Transporte",J340*72%)</f>
        <v>9588</v>
      </c>
      <c r="M340" s="3">
        <f t="shared" si="15"/>
        <v>527340</v>
      </c>
      <c r="N340" s="3">
        <f t="shared" si="16"/>
        <v>248160</v>
      </c>
      <c r="O340" s="16">
        <f t="shared" si="17"/>
        <v>0.32</v>
      </c>
    </row>
    <row r="341" spans="1:15" x14ac:dyDescent="0.25">
      <c r="A341" s="1" t="s">
        <v>385</v>
      </c>
      <c r="B341" s="5">
        <v>46161</v>
      </c>
      <c r="C341" s="1" t="s">
        <v>14</v>
      </c>
      <c r="D341" s="1" t="s">
        <v>21</v>
      </c>
      <c r="E341" s="1" t="s">
        <v>3</v>
      </c>
      <c r="F341" s="1" t="s">
        <v>42</v>
      </c>
      <c r="G341" s="1" t="s">
        <v>43</v>
      </c>
      <c r="H341" s="1" t="s">
        <v>19</v>
      </c>
      <c r="I341" s="1">
        <v>52</v>
      </c>
      <c r="J341" s="3">
        <v>14100</v>
      </c>
      <c r="K341" s="3">
        <f>Tbl_Datos[[#This Row],[Unidades]]*Tbl_Datos[[#This Row],[Precio Unitario]]</f>
        <v>733200</v>
      </c>
      <c r="L341" s="3" cm="1">
        <f t="array" ref="L341">_xlfn.IFS(F341="Camas",J341*68%,F341="Comederos",J341*60%,F341="Higiene",J341*55%,F341="Juguetes",J341*62%,F341="Transporte",J341*72%)</f>
        <v>7755.0000000000009</v>
      </c>
      <c r="M341" s="3">
        <f t="shared" si="15"/>
        <v>403260.00000000006</v>
      </c>
      <c r="N341" s="3">
        <f t="shared" si="16"/>
        <v>329939.99999999994</v>
      </c>
      <c r="O341" s="16">
        <f t="shared" si="17"/>
        <v>0.4499999999999999</v>
      </c>
    </row>
    <row r="342" spans="1:15" x14ac:dyDescent="0.25">
      <c r="A342" s="1" t="s">
        <v>386</v>
      </c>
      <c r="B342" s="5">
        <v>46259</v>
      </c>
      <c r="C342" s="1" t="s">
        <v>8</v>
      </c>
      <c r="D342" s="1" t="s">
        <v>27</v>
      </c>
      <c r="E342" s="1" t="s">
        <v>16</v>
      </c>
      <c r="F342" s="1" t="s">
        <v>4</v>
      </c>
      <c r="G342" s="1" t="s">
        <v>5</v>
      </c>
      <c r="H342" s="1" t="s">
        <v>19</v>
      </c>
      <c r="I342" s="1">
        <v>47</v>
      </c>
      <c r="J342" s="3">
        <v>6200</v>
      </c>
      <c r="K342" s="3">
        <f>Tbl_Datos[[#This Row],[Unidades]]*Tbl_Datos[[#This Row],[Precio Unitario]]</f>
        <v>291400</v>
      </c>
      <c r="L342" s="3" cm="1">
        <f t="array" ref="L342">_xlfn.IFS(F342="Camas",J342*68%,F342="Comederos",J342*60%,F342="Higiene",J342*55%,F342="Juguetes",J342*62%,F342="Transporte",J342*72%)</f>
        <v>3720</v>
      </c>
      <c r="M342" s="3">
        <f t="shared" si="15"/>
        <v>174840</v>
      </c>
      <c r="N342" s="3">
        <f t="shared" si="16"/>
        <v>116560</v>
      </c>
      <c r="O342" s="16">
        <f t="shared" si="17"/>
        <v>0.4</v>
      </c>
    </row>
    <row r="343" spans="1:15" x14ac:dyDescent="0.25">
      <c r="A343" s="1" t="s">
        <v>387</v>
      </c>
      <c r="B343" s="5">
        <v>46197</v>
      </c>
      <c r="C343" s="1" t="s">
        <v>45</v>
      </c>
      <c r="D343" s="1" t="s">
        <v>15</v>
      </c>
      <c r="E343" s="1" t="s">
        <v>53</v>
      </c>
      <c r="F343" s="1" t="s">
        <v>42</v>
      </c>
      <c r="G343" s="1" t="s">
        <v>125</v>
      </c>
      <c r="H343" s="1" t="s">
        <v>19</v>
      </c>
      <c r="I343" s="1">
        <v>21</v>
      </c>
      <c r="J343" s="3">
        <v>7500</v>
      </c>
      <c r="K343" s="3">
        <f>Tbl_Datos[[#This Row],[Unidades]]*Tbl_Datos[[#This Row],[Precio Unitario]]</f>
        <v>157500</v>
      </c>
      <c r="L343" s="3" cm="1">
        <f t="array" ref="L343">_xlfn.IFS(F343="Camas",J343*68%,F343="Comederos",J343*60%,F343="Higiene",J343*55%,F343="Juguetes",J343*62%,F343="Transporte",J343*72%)</f>
        <v>4125</v>
      </c>
      <c r="M343" s="3">
        <f t="shared" si="15"/>
        <v>86625</v>
      </c>
      <c r="N343" s="3">
        <f t="shared" si="16"/>
        <v>70875</v>
      </c>
      <c r="O343" s="16">
        <f t="shared" si="17"/>
        <v>0.45</v>
      </c>
    </row>
    <row r="344" spans="1:15" x14ac:dyDescent="0.25">
      <c r="A344" s="1" t="s">
        <v>388</v>
      </c>
      <c r="B344" s="5">
        <v>46127</v>
      </c>
      <c r="C344" s="1" t="s">
        <v>47</v>
      </c>
      <c r="D344" s="1" t="s">
        <v>2</v>
      </c>
      <c r="E344" s="1" t="s">
        <v>10</v>
      </c>
      <c r="F344" s="1" t="s">
        <v>4</v>
      </c>
      <c r="G344" s="1" t="s">
        <v>34</v>
      </c>
      <c r="H344" s="1" t="s">
        <v>6</v>
      </c>
      <c r="I344" s="1">
        <v>29</v>
      </c>
      <c r="J344" s="3">
        <v>3900</v>
      </c>
      <c r="K344" s="3">
        <f>Tbl_Datos[[#This Row],[Unidades]]*Tbl_Datos[[#This Row],[Precio Unitario]]</f>
        <v>113100</v>
      </c>
      <c r="L344" s="3" cm="1">
        <f t="array" ref="L344">_xlfn.IFS(F344="Camas",J344*68%,F344="Comederos",J344*60%,F344="Higiene",J344*55%,F344="Juguetes",J344*62%,F344="Transporte",J344*72%)</f>
        <v>2340</v>
      </c>
      <c r="M344" s="3">
        <f t="shared" si="15"/>
        <v>67860</v>
      </c>
      <c r="N344" s="3">
        <f t="shared" si="16"/>
        <v>45240</v>
      </c>
      <c r="O344" s="16">
        <f t="shared" si="17"/>
        <v>0.4</v>
      </c>
    </row>
    <row r="345" spans="1:15" x14ac:dyDescent="0.25">
      <c r="A345" s="1" t="s">
        <v>389</v>
      </c>
      <c r="B345" s="5">
        <v>46216</v>
      </c>
      <c r="C345" s="1" t="s">
        <v>52</v>
      </c>
      <c r="D345" s="1" t="s">
        <v>9</v>
      </c>
      <c r="E345" s="1" t="s">
        <v>16</v>
      </c>
      <c r="F345" s="1" t="s">
        <v>4</v>
      </c>
      <c r="G345" s="1" t="s">
        <v>5</v>
      </c>
      <c r="H345" s="1" t="s">
        <v>24</v>
      </c>
      <c r="I345" s="1">
        <v>56</v>
      </c>
      <c r="J345" s="3">
        <v>6700</v>
      </c>
      <c r="K345" s="3">
        <f>Tbl_Datos[[#This Row],[Unidades]]*Tbl_Datos[[#This Row],[Precio Unitario]]</f>
        <v>375200</v>
      </c>
      <c r="L345" s="3" cm="1">
        <f t="array" ref="L345">_xlfn.IFS(F345="Camas",J345*68%,F345="Comederos",J345*60%,F345="Higiene",J345*55%,F345="Juguetes",J345*62%,F345="Transporte",J345*72%)</f>
        <v>4020</v>
      </c>
      <c r="M345" s="3">
        <f t="shared" si="15"/>
        <v>225120</v>
      </c>
      <c r="N345" s="3">
        <f t="shared" si="16"/>
        <v>150080</v>
      </c>
      <c r="O345" s="16">
        <f t="shared" si="17"/>
        <v>0.4</v>
      </c>
    </row>
    <row r="346" spans="1:15" x14ac:dyDescent="0.25">
      <c r="A346" s="1" t="s">
        <v>390</v>
      </c>
      <c r="B346" s="5">
        <v>46200</v>
      </c>
      <c r="C346" s="1" t="s">
        <v>45</v>
      </c>
      <c r="D346" s="1" t="s">
        <v>33</v>
      </c>
      <c r="E346" s="1" t="s">
        <v>16</v>
      </c>
      <c r="F346" s="1" t="s">
        <v>4</v>
      </c>
      <c r="G346" s="1" t="s">
        <v>5</v>
      </c>
      <c r="H346" s="1" t="s">
        <v>24</v>
      </c>
      <c r="I346" s="1">
        <v>65</v>
      </c>
      <c r="J346" s="3">
        <v>6200</v>
      </c>
      <c r="K346" s="3">
        <f>Tbl_Datos[[#This Row],[Unidades]]*Tbl_Datos[[#This Row],[Precio Unitario]]</f>
        <v>403000</v>
      </c>
      <c r="L346" s="3" cm="1">
        <f t="array" ref="L346">_xlfn.IFS(F346="Camas",J346*68%,F346="Comederos",J346*60%,F346="Higiene",J346*55%,F346="Juguetes",J346*62%,F346="Transporte",J346*72%)</f>
        <v>3720</v>
      </c>
      <c r="M346" s="3">
        <f t="shared" si="15"/>
        <v>241800</v>
      </c>
      <c r="N346" s="3">
        <f t="shared" si="16"/>
        <v>161200</v>
      </c>
      <c r="O346" s="16">
        <f t="shared" si="17"/>
        <v>0.4</v>
      </c>
    </row>
    <row r="347" spans="1:15" x14ac:dyDescent="0.25">
      <c r="A347" s="1" t="s">
        <v>391</v>
      </c>
      <c r="B347" s="5">
        <v>46084</v>
      </c>
      <c r="C347" s="1" t="s">
        <v>26</v>
      </c>
      <c r="D347" s="1" t="s">
        <v>2</v>
      </c>
      <c r="E347" s="1" t="s">
        <v>36</v>
      </c>
      <c r="F347" s="1" t="s">
        <v>22</v>
      </c>
      <c r="G347" s="1" t="s">
        <v>40</v>
      </c>
      <c r="H347" s="1" t="s">
        <v>19</v>
      </c>
      <c r="I347" s="1">
        <v>17</v>
      </c>
      <c r="J347" s="3">
        <v>27700</v>
      </c>
      <c r="K347" s="3">
        <f>Tbl_Datos[[#This Row],[Unidades]]*Tbl_Datos[[#This Row],[Precio Unitario]]</f>
        <v>470900</v>
      </c>
      <c r="L347" s="3" cm="1">
        <f t="array" ref="L347">_xlfn.IFS(F347="Camas",J347*68%,F347="Comederos",J347*60%,F347="Higiene",J347*55%,F347="Juguetes",J347*62%,F347="Transporte",J347*72%)</f>
        <v>19944</v>
      </c>
      <c r="M347" s="3">
        <f t="shared" si="15"/>
        <v>339048</v>
      </c>
      <c r="N347" s="3">
        <f t="shared" si="16"/>
        <v>131852</v>
      </c>
      <c r="O347" s="16">
        <f t="shared" si="17"/>
        <v>0.28000000000000003</v>
      </c>
    </row>
    <row r="348" spans="1:15" x14ac:dyDescent="0.25">
      <c r="A348" s="1" t="s">
        <v>392</v>
      </c>
      <c r="B348" s="5">
        <v>46229</v>
      </c>
      <c r="C348" s="1" t="s">
        <v>52</v>
      </c>
      <c r="D348" s="1" t="s">
        <v>27</v>
      </c>
      <c r="E348" s="1" t="s">
        <v>10</v>
      </c>
      <c r="F348" s="1" t="s">
        <v>22</v>
      </c>
      <c r="G348" s="1" t="s">
        <v>23</v>
      </c>
      <c r="H348" s="1" t="s">
        <v>19</v>
      </c>
      <c r="I348" s="1">
        <v>30</v>
      </c>
      <c r="J348" s="3">
        <v>48000</v>
      </c>
      <c r="K348" s="3">
        <f>Tbl_Datos[[#This Row],[Unidades]]*Tbl_Datos[[#This Row],[Precio Unitario]]</f>
        <v>1440000</v>
      </c>
      <c r="L348" s="3" cm="1">
        <f t="array" ref="L348">_xlfn.IFS(F348="Camas",J348*68%,F348="Comederos",J348*60%,F348="Higiene",J348*55%,F348="Juguetes",J348*62%,F348="Transporte",J348*72%)</f>
        <v>34560</v>
      </c>
      <c r="M348" s="3">
        <f t="shared" si="15"/>
        <v>1036800</v>
      </c>
      <c r="N348" s="3">
        <f t="shared" si="16"/>
        <v>403200</v>
      </c>
      <c r="O348" s="16">
        <f t="shared" si="17"/>
        <v>0.28000000000000003</v>
      </c>
    </row>
    <row r="349" spans="1:15" x14ac:dyDescent="0.25">
      <c r="A349" s="1" t="s">
        <v>393</v>
      </c>
      <c r="B349" s="5">
        <v>46106</v>
      </c>
      <c r="C349" s="1" t="s">
        <v>26</v>
      </c>
      <c r="D349" s="1" t="s">
        <v>27</v>
      </c>
      <c r="E349" s="1" t="s">
        <v>3</v>
      </c>
      <c r="F349" s="1" t="s">
        <v>17</v>
      </c>
      <c r="G349" s="1" t="s">
        <v>68</v>
      </c>
      <c r="H349" s="1" t="s">
        <v>24</v>
      </c>
      <c r="I349" s="1">
        <v>34</v>
      </c>
      <c r="J349" s="3">
        <v>5500</v>
      </c>
      <c r="K349" s="3">
        <f>Tbl_Datos[[#This Row],[Unidades]]*Tbl_Datos[[#This Row],[Precio Unitario]]</f>
        <v>187000</v>
      </c>
      <c r="L349" s="3" cm="1">
        <f t="array" ref="L349">_xlfn.IFS(F349="Camas",J349*68%,F349="Comederos",J349*60%,F349="Higiene",J349*55%,F349="Juguetes",J349*62%,F349="Transporte",J349*72%)</f>
        <v>3410</v>
      </c>
      <c r="M349" s="3">
        <f t="shared" si="15"/>
        <v>115940</v>
      </c>
      <c r="N349" s="3">
        <f t="shared" si="16"/>
        <v>71060</v>
      </c>
      <c r="O349" s="16">
        <f t="shared" si="17"/>
        <v>0.38</v>
      </c>
    </row>
    <row r="350" spans="1:15" x14ac:dyDescent="0.25">
      <c r="A350" s="1" t="s">
        <v>394</v>
      </c>
      <c r="B350" s="5">
        <v>46086</v>
      </c>
      <c r="C350" s="1" t="s">
        <v>26</v>
      </c>
      <c r="D350" s="1" t="s">
        <v>2</v>
      </c>
      <c r="E350" s="1" t="s">
        <v>53</v>
      </c>
      <c r="F350" s="1" t="s">
        <v>42</v>
      </c>
      <c r="G350" s="1" t="s">
        <v>65</v>
      </c>
      <c r="H350" s="1" t="s">
        <v>24</v>
      </c>
      <c r="I350" s="1">
        <v>57</v>
      </c>
      <c r="J350" s="3">
        <v>6100</v>
      </c>
      <c r="K350" s="3">
        <f>Tbl_Datos[[#This Row],[Unidades]]*Tbl_Datos[[#This Row],[Precio Unitario]]</f>
        <v>347700</v>
      </c>
      <c r="L350" s="3" cm="1">
        <f t="array" ref="L350">_xlfn.IFS(F350="Camas",J350*68%,F350="Comederos",J350*60%,F350="Higiene",J350*55%,F350="Juguetes",J350*62%,F350="Transporte",J350*72%)</f>
        <v>3355.0000000000005</v>
      </c>
      <c r="M350" s="3">
        <f t="shared" si="15"/>
        <v>191235.00000000003</v>
      </c>
      <c r="N350" s="3">
        <f t="shared" si="16"/>
        <v>156464.99999999997</v>
      </c>
      <c r="O350" s="16">
        <f t="shared" si="17"/>
        <v>0.4499999999999999</v>
      </c>
    </row>
    <row r="351" spans="1:15" x14ac:dyDescent="0.25">
      <c r="A351" s="1" t="s">
        <v>395</v>
      </c>
      <c r="B351" s="5">
        <v>46033</v>
      </c>
      <c r="C351" s="1" t="s">
        <v>32</v>
      </c>
      <c r="D351" s="1" t="s">
        <v>21</v>
      </c>
      <c r="E351" s="1" t="s">
        <v>3</v>
      </c>
      <c r="F351" s="1" t="s">
        <v>4</v>
      </c>
      <c r="G351" s="1" t="s">
        <v>34</v>
      </c>
      <c r="H351" s="1" t="s">
        <v>19</v>
      </c>
      <c r="I351" s="1">
        <v>34</v>
      </c>
      <c r="J351" s="3">
        <v>3800</v>
      </c>
      <c r="K351" s="3">
        <f>Tbl_Datos[[#This Row],[Unidades]]*Tbl_Datos[[#This Row],[Precio Unitario]]</f>
        <v>129200</v>
      </c>
      <c r="L351" s="3" cm="1">
        <f t="array" ref="L351">_xlfn.IFS(F351="Camas",J351*68%,F351="Comederos",J351*60%,F351="Higiene",J351*55%,F351="Juguetes",J351*62%,F351="Transporte",J351*72%)</f>
        <v>2280</v>
      </c>
      <c r="M351" s="3">
        <f t="shared" si="15"/>
        <v>77520</v>
      </c>
      <c r="N351" s="3">
        <f t="shared" si="16"/>
        <v>51680</v>
      </c>
      <c r="O351" s="16">
        <f t="shared" si="17"/>
        <v>0.4</v>
      </c>
    </row>
    <row r="352" spans="1:15" x14ac:dyDescent="0.25">
      <c r="A352" s="1" t="s">
        <v>396</v>
      </c>
      <c r="B352" s="5">
        <v>46247</v>
      </c>
      <c r="C352" s="1" t="s">
        <v>8</v>
      </c>
      <c r="D352" s="1" t="s">
        <v>33</v>
      </c>
      <c r="E352" s="1" t="s">
        <v>53</v>
      </c>
      <c r="F352" s="1" t="s">
        <v>22</v>
      </c>
      <c r="G352" s="1" t="s">
        <v>40</v>
      </c>
      <c r="H352" s="1" t="s">
        <v>19</v>
      </c>
      <c r="I352" s="1">
        <v>33</v>
      </c>
      <c r="J352" s="3">
        <v>27700</v>
      </c>
      <c r="K352" s="3">
        <f>Tbl_Datos[[#This Row],[Unidades]]*Tbl_Datos[[#This Row],[Precio Unitario]]</f>
        <v>914100</v>
      </c>
      <c r="L352" s="3" cm="1">
        <f t="array" ref="L352">_xlfn.IFS(F352="Camas",J352*68%,F352="Comederos",J352*60%,F352="Higiene",J352*55%,F352="Juguetes",J352*62%,F352="Transporte",J352*72%)</f>
        <v>19944</v>
      </c>
      <c r="M352" s="3">
        <f t="shared" si="15"/>
        <v>658152</v>
      </c>
      <c r="N352" s="3">
        <f t="shared" si="16"/>
        <v>255948</v>
      </c>
      <c r="O352" s="16">
        <f t="shared" si="17"/>
        <v>0.28000000000000003</v>
      </c>
    </row>
    <row r="353" spans="1:15" x14ac:dyDescent="0.25">
      <c r="A353" s="1" t="s">
        <v>397</v>
      </c>
      <c r="B353" s="5">
        <v>46179</v>
      </c>
      <c r="C353" s="1" t="s">
        <v>45</v>
      </c>
      <c r="D353" s="1" t="s">
        <v>21</v>
      </c>
      <c r="E353" s="1" t="s">
        <v>36</v>
      </c>
      <c r="F353" s="1" t="s">
        <v>4</v>
      </c>
      <c r="G353" s="1" t="s">
        <v>34</v>
      </c>
      <c r="H353" s="1" t="s">
        <v>19</v>
      </c>
      <c r="I353" s="1">
        <v>9</v>
      </c>
      <c r="J353" s="3">
        <v>3800</v>
      </c>
      <c r="K353" s="3">
        <f>Tbl_Datos[[#This Row],[Unidades]]*Tbl_Datos[[#This Row],[Precio Unitario]]</f>
        <v>34200</v>
      </c>
      <c r="L353" s="3" cm="1">
        <f t="array" ref="L353">_xlfn.IFS(F353="Camas",J353*68%,F353="Comederos",J353*60%,F353="Higiene",J353*55%,F353="Juguetes",J353*62%,F353="Transporte",J353*72%)</f>
        <v>2280</v>
      </c>
      <c r="M353" s="3">
        <f t="shared" si="15"/>
        <v>20520</v>
      </c>
      <c r="N353" s="3">
        <f t="shared" si="16"/>
        <v>13680</v>
      </c>
      <c r="O353" s="16">
        <f t="shared" si="17"/>
        <v>0.4</v>
      </c>
    </row>
    <row r="354" spans="1:15" x14ac:dyDescent="0.25">
      <c r="A354" s="1" t="s">
        <v>398</v>
      </c>
      <c r="B354" s="5">
        <v>46152</v>
      </c>
      <c r="C354" s="1" t="s">
        <v>14</v>
      </c>
      <c r="D354" s="1" t="s">
        <v>27</v>
      </c>
      <c r="E354" s="1" t="s">
        <v>3</v>
      </c>
      <c r="F354" s="1" t="s">
        <v>22</v>
      </c>
      <c r="G354" s="1" t="s">
        <v>55</v>
      </c>
      <c r="H354" s="1" t="s">
        <v>19</v>
      </c>
      <c r="I354" s="1">
        <v>7</v>
      </c>
      <c r="J354" s="3">
        <v>37000</v>
      </c>
      <c r="K354" s="3">
        <f>Tbl_Datos[[#This Row],[Unidades]]*Tbl_Datos[[#This Row],[Precio Unitario]]</f>
        <v>259000</v>
      </c>
      <c r="L354" s="3" cm="1">
        <f t="array" ref="L354">_xlfn.IFS(F354="Camas",J354*68%,F354="Comederos",J354*60%,F354="Higiene",J354*55%,F354="Juguetes",J354*62%,F354="Transporte",J354*72%)</f>
        <v>26640</v>
      </c>
      <c r="M354" s="3">
        <f t="shared" si="15"/>
        <v>186480</v>
      </c>
      <c r="N354" s="3">
        <f t="shared" si="16"/>
        <v>72520</v>
      </c>
      <c r="O354" s="16">
        <f t="shared" si="17"/>
        <v>0.28000000000000003</v>
      </c>
    </row>
    <row r="355" spans="1:15" x14ac:dyDescent="0.25">
      <c r="A355" s="1" t="s">
        <v>399</v>
      </c>
      <c r="B355" s="5">
        <v>46112</v>
      </c>
      <c r="C355" s="1" t="s">
        <v>26</v>
      </c>
      <c r="D355" s="1" t="s">
        <v>21</v>
      </c>
      <c r="E355" s="1" t="s">
        <v>16</v>
      </c>
      <c r="F355" s="1" t="s">
        <v>4</v>
      </c>
      <c r="G355" s="1" t="s">
        <v>5</v>
      </c>
      <c r="H355" s="1" t="s">
        <v>6</v>
      </c>
      <c r="I355" s="1">
        <v>49</v>
      </c>
      <c r="J355" s="3">
        <v>6500</v>
      </c>
      <c r="K355" s="3">
        <f>Tbl_Datos[[#This Row],[Unidades]]*Tbl_Datos[[#This Row],[Precio Unitario]]</f>
        <v>318500</v>
      </c>
      <c r="L355" s="3" cm="1">
        <f t="array" ref="L355">_xlfn.IFS(F355="Camas",J355*68%,F355="Comederos",J355*60%,F355="Higiene",J355*55%,F355="Juguetes",J355*62%,F355="Transporte",J355*72%)</f>
        <v>3900</v>
      </c>
      <c r="M355" s="3">
        <f t="shared" si="15"/>
        <v>191100</v>
      </c>
      <c r="N355" s="3">
        <f t="shared" si="16"/>
        <v>127400</v>
      </c>
      <c r="O355" s="16">
        <f t="shared" si="17"/>
        <v>0.4</v>
      </c>
    </row>
    <row r="356" spans="1:15" x14ac:dyDescent="0.25">
      <c r="A356" s="1" t="s">
        <v>400</v>
      </c>
      <c r="B356" s="5">
        <v>46070</v>
      </c>
      <c r="C356" s="1" t="s">
        <v>1</v>
      </c>
      <c r="D356" s="1" t="s">
        <v>2</v>
      </c>
      <c r="E356" s="1" t="s">
        <v>10</v>
      </c>
      <c r="F356" s="1" t="s">
        <v>22</v>
      </c>
      <c r="G356" s="1" t="s">
        <v>23</v>
      </c>
      <c r="H356" s="1" t="s">
        <v>6</v>
      </c>
      <c r="I356" s="1">
        <v>49</v>
      </c>
      <c r="J356" s="3">
        <v>46400</v>
      </c>
      <c r="K356" s="3">
        <f>Tbl_Datos[[#This Row],[Unidades]]*Tbl_Datos[[#This Row],[Precio Unitario]]</f>
        <v>2273600</v>
      </c>
      <c r="L356" s="3" cm="1">
        <f t="array" ref="L356">_xlfn.IFS(F356="Camas",J356*68%,F356="Comederos",J356*60%,F356="Higiene",J356*55%,F356="Juguetes",J356*62%,F356="Transporte",J356*72%)</f>
        <v>33408</v>
      </c>
      <c r="M356" s="3">
        <f t="shared" si="15"/>
        <v>1636992</v>
      </c>
      <c r="N356" s="3">
        <f t="shared" si="16"/>
        <v>636608</v>
      </c>
      <c r="O356" s="16">
        <f t="shared" si="17"/>
        <v>0.28000000000000003</v>
      </c>
    </row>
    <row r="357" spans="1:15" x14ac:dyDescent="0.25">
      <c r="A357" s="1" t="s">
        <v>401</v>
      </c>
      <c r="B357" s="5">
        <v>46262</v>
      </c>
      <c r="C357" s="1" t="s">
        <v>8</v>
      </c>
      <c r="D357" s="1" t="s">
        <v>9</v>
      </c>
      <c r="E357" s="1" t="s">
        <v>16</v>
      </c>
      <c r="F357" s="1" t="s">
        <v>17</v>
      </c>
      <c r="G357" s="1" t="s">
        <v>74</v>
      </c>
      <c r="H357" s="1" t="s">
        <v>19</v>
      </c>
      <c r="I357" s="1">
        <v>10</v>
      </c>
      <c r="J357" s="3">
        <v>10300</v>
      </c>
      <c r="K357" s="3">
        <f>Tbl_Datos[[#This Row],[Unidades]]*Tbl_Datos[[#This Row],[Precio Unitario]]</f>
        <v>103000</v>
      </c>
      <c r="L357" s="3" cm="1">
        <f t="array" ref="L357">_xlfn.IFS(F357="Camas",J357*68%,F357="Comederos",J357*60%,F357="Higiene",J357*55%,F357="Juguetes",J357*62%,F357="Transporte",J357*72%)</f>
        <v>6386</v>
      </c>
      <c r="M357" s="3">
        <f t="shared" si="15"/>
        <v>63860</v>
      </c>
      <c r="N357" s="3">
        <f t="shared" si="16"/>
        <v>39140</v>
      </c>
      <c r="O357" s="16">
        <f t="shared" si="17"/>
        <v>0.38</v>
      </c>
    </row>
    <row r="358" spans="1:15" x14ac:dyDescent="0.25">
      <c r="A358" s="1" t="s">
        <v>402</v>
      </c>
      <c r="B358" s="5">
        <v>46213</v>
      </c>
      <c r="C358" s="1" t="s">
        <v>52</v>
      </c>
      <c r="D358" s="1" t="s">
        <v>21</v>
      </c>
      <c r="E358" s="1" t="s">
        <v>3</v>
      </c>
      <c r="F358" s="1" t="s">
        <v>11</v>
      </c>
      <c r="G358" s="1" t="s">
        <v>28</v>
      </c>
      <c r="H358" s="1" t="s">
        <v>19</v>
      </c>
      <c r="I358" s="1">
        <v>41</v>
      </c>
      <c r="J358" s="3">
        <v>14000</v>
      </c>
      <c r="K358" s="3">
        <f>Tbl_Datos[[#This Row],[Unidades]]*Tbl_Datos[[#This Row],[Precio Unitario]]</f>
        <v>574000</v>
      </c>
      <c r="L358" s="3" cm="1">
        <f t="array" ref="L358">_xlfn.IFS(F358="Camas",J358*68%,F358="Comederos",J358*60%,F358="Higiene",J358*55%,F358="Juguetes",J358*62%,F358="Transporte",J358*72%)</f>
        <v>9520</v>
      </c>
      <c r="M358" s="3">
        <f t="shared" si="15"/>
        <v>390320</v>
      </c>
      <c r="N358" s="3">
        <f t="shared" si="16"/>
        <v>183680</v>
      </c>
      <c r="O358" s="16">
        <f t="shared" si="17"/>
        <v>0.32</v>
      </c>
    </row>
    <row r="359" spans="1:15" x14ac:dyDescent="0.25">
      <c r="A359" s="1" t="s">
        <v>403</v>
      </c>
      <c r="B359" s="5">
        <v>46107</v>
      </c>
      <c r="C359" s="1" t="s">
        <v>26</v>
      </c>
      <c r="D359" s="1" t="s">
        <v>21</v>
      </c>
      <c r="E359" s="1" t="s">
        <v>53</v>
      </c>
      <c r="F359" s="1" t="s">
        <v>17</v>
      </c>
      <c r="G359" s="1" t="s">
        <v>74</v>
      </c>
      <c r="H359" s="1" t="s">
        <v>6</v>
      </c>
      <c r="I359" s="1">
        <v>39</v>
      </c>
      <c r="J359" s="3">
        <v>9600</v>
      </c>
      <c r="K359" s="3">
        <f>Tbl_Datos[[#This Row],[Unidades]]*Tbl_Datos[[#This Row],[Precio Unitario]]</f>
        <v>374400</v>
      </c>
      <c r="L359" s="3" cm="1">
        <f t="array" ref="L359">_xlfn.IFS(F359="Camas",J359*68%,F359="Comederos",J359*60%,F359="Higiene",J359*55%,F359="Juguetes",J359*62%,F359="Transporte",J359*72%)</f>
        <v>5952</v>
      </c>
      <c r="M359" s="3">
        <f t="shared" si="15"/>
        <v>232128</v>
      </c>
      <c r="N359" s="3">
        <f t="shared" si="16"/>
        <v>142272</v>
      </c>
      <c r="O359" s="16">
        <f t="shared" si="17"/>
        <v>0.38</v>
      </c>
    </row>
    <row r="360" spans="1:15" x14ac:dyDescent="0.25">
      <c r="A360" s="1" t="s">
        <v>404</v>
      </c>
      <c r="B360" s="5">
        <v>46104</v>
      </c>
      <c r="C360" s="1" t="s">
        <v>26</v>
      </c>
      <c r="D360" s="1" t="s">
        <v>2</v>
      </c>
      <c r="E360" s="1" t="s">
        <v>36</v>
      </c>
      <c r="F360" s="1" t="s">
        <v>11</v>
      </c>
      <c r="G360" s="1" t="s">
        <v>144</v>
      </c>
      <c r="H360" s="1" t="s">
        <v>6</v>
      </c>
      <c r="I360" s="1">
        <v>18</v>
      </c>
      <c r="J360" s="3">
        <v>23700</v>
      </c>
      <c r="K360" s="3">
        <f>Tbl_Datos[[#This Row],[Unidades]]*Tbl_Datos[[#This Row],[Precio Unitario]]</f>
        <v>426600</v>
      </c>
      <c r="L360" s="3" cm="1">
        <f t="array" ref="L360">_xlfn.IFS(F360="Camas",J360*68%,F360="Comederos",J360*60%,F360="Higiene",J360*55%,F360="Juguetes",J360*62%,F360="Transporte",J360*72%)</f>
        <v>16116.000000000002</v>
      </c>
      <c r="M360" s="3">
        <f t="shared" si="15"/>
        <v>290088.00000000006</v>
      </c>
      <c r="N360" s="3">
        <f t="shared" si="16"/>
        <v>136511.99999999994</v>
      </c>
      <c r="O360" s="16">
        <f t="shared" si="17"/>
        <v>0.31999999999999984</v>
      </c>
    </row>
    <row r="361" spans="1:15" x14ac:dyDescent="0.25">
      <c r="A361" s="1" t="s">
        <v>405</v>
      </c>
      <c r="B361" s="5">
        <v>46187</v>
      </c>
      <c r="C361" s="1" t="s">
        <v>45</v>
      </c>
      <c r="D361" s="1" t="s">
        <v>33</v>
      </c>
      <c r="E361" s="1" t="s">
        <v>3</v>
      </c>
      <c r="F361" s="1" t="s">
        <v>17</v>
      </c>
      <c r="G361" s="1" t="s">
        <v>74</v>
      </c>
      <c r="H361" s="1" t="s">
        <v>19</v>
      </c>
      <c r="I361" s="1">
        <v>31</v>
      </c>
      <c r="J361" s="3">
        <v>10600</v>
      </c>
      <c r="K361" s="3">
        <f>Tbl_Datos[[#This Row],[Unidades]]*Tbl_Datos[[#This Row],[Precio Unitario]]</f>
        <v>328600</v>
      </c>
      <c r="L361" s="13" cm="1">
        <f t="array" ref="L361">_xlfn.IFS(F361="Camas",J361*68%,F361="Comederos",J361*60%,F361="Higiene",J361*55%,F361="Juguetes",J361*62%,F361="Transporte",J361*72%)</f>
        <v>6572</v>
      </c>
      <c r="M361" s="13">
        <f t="shared" si="15"/>
        <v>203732</v>
      </c>
      <c r="N361" s="13">
        <f t="shared" si="16"/>
        <v>124868</v>
      </c>
      <c r="O361" s="17">
        <f t="shared" si="17"/>
        <v>0.38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DashboardFinal</vt:lpstr>
      <vt:lpstr>Soporte Dashboard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Sanchez</dc:creator>
  <cp:lastModifiedBy>Nicolás Sanchez</cp:lastModifiedBy>
  <dcterms:created xsi:type="dcterms:W3CDTF">2015-06-05T18:19:34Z</dcterms:created>
  <dcterms:modified xsi:type="dcterms:W3CDTF">2026-10-04T15:02:11Z</dcterms:modified>
</cp:coreProperties>
</file>